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tungnguyen/Desktop/excel_processing/"/>
    </mc:Choice>
  </mc:AlternateContent>
  <xr:revisionPtr revIDLastSave="0" documentId="13_ncr:1_{08E35B80-C991-FC4C-8014-93A67B8A7F63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Thông tin" sheetId="1" r:id="rId1"/>
    <sheet name="Lương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8" i="1" l="1" a="1"/>
  <c r="BG8" i="1" s="1"/>
  <c r="BH8" i="1" s="1" a="1"/>
  <c r="BH8" i="1" s="1"/>
  <c r="AN7" i="2"/>
  <c r="AM7" i="2"/>
  <c r="AS7" i="2" s="1"/>
  <c r="AL7" i="2"/>
  <c r="AI7" i="2" s="1"/>
  <c r="AR7" i="2" s="1"/>
  <c r="AK7" i="2"/>
  <c r="AJ7" i="2"/>
  <c r="T7" i="2"/>
  <c r="S7" i="2"/>
  <c r="R7" i="2"/>
  <c r="Q7" i="2" s="1"/>
  <c r="AP7" i="2" s="1"/>
  <c r="P7" i="2"/>
  <c r="O7" i="2"/>
  <c r="D7" i="2"/>
  <c r="U7" i="2" s="1"/>
  <c r="AS6" i="2"/>
  <c r="AN6" i="2"/>
  <c r="AM6" i="2"/>
  <c r="AL6" i="2"/>
  <c r="AK6" i="2"/>
  <c r="AJ6" i="2"/>
  <c r="AI6" i="2"/>
  <c r="AR6" i="2" s="1"/>
  <c r="T6" i="2"/>
  <c r="S6" i="2"/>
  <c r="R6" i="2"/>
  <c r="P6" i="2"/>
  <c r="O6" i="2"/>
  <c r="M6" i="2" s="1"/>
  <c r="D6" i="2"/>
  <c r="U6" i="2" s="1"/>
  <c r="BG6" i="1" a="1"/>
  <c r="BG6" i="1" s="1"/>
  <c r="BH6" i="1" s="1" a="1"/>
  <c r="BH6" i="1" s="1"/>
  <c r="Z6" i="1"/>
  <c r="AN5" i="2"/>
  <c r="AM5" i="2"/>
  <c r="AS5" i="2" s="1"/>
  <c r="AL5" i="2"/>
  <c r="AI5" i="2" s="1"/>
  <c r="AR5" i="2" s="1"/>
  <c r="AK5" i="2"/>
  <c r="AJ5" i="2"/>
  <c r="T5" i="2"/>
  <c r="S5" i="2"/>
  <c r="R5" i="2"/>
  <c r="Q5" i="2" s="1"/>
  <c r="AP5" i="2" s="1"/>
  <c r="P5" i="2"/>
  <c r="O5" i="2"/>
  <c r="M5" i="2"/>
  <c r="D5" i="2"/>
  <c r="U5" i="2" s="1"/>
  <c r="AN4" i="2"/>
  <c r="AM4" i="2"/>
  <c r="AS4" i="2" s="1"/>
  <c r="AL4" i="2"/>
  <c r="AK4" i="2"/>
  <c r="AJ4" i="2"/>
  <c r="T4" i="2"/>
  <c r="S4" i="2"/>
  <c r="R4" i="2"/>
  <c r="Q4" i="2" s="1"/>
  <c r="AP4" i="2" s="1"/>
  <c r="O4" i="2"/>
  <c r="N4" i="2"/>
  <c r="P4" i="2" s="1"/>
  <c r="D4" i="2"/>
  <c r="U4" i="2" s="1"/>
  <c r="C3" i="2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BG9" i="1" a="1"/>
  <c r="BG9" i="1" s="1"/>
  <c r="BH9" i="1" s="1" a="1"/>
  <c r="BH9" i="1" s="1"/>
  <c r="AE9" i="1"/>
  <c r="BG7" i="1" a="1"/>
  <c r="BG7" i="1" s="1"/>
  <c r="BH7" i="1" s="1" a="1"/>
  <c r="BH7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Q6" i="2" l="1"/>
  <c r="AP6" i="2" s="1"/>
  <c r="AI4" i="2"/>
  <c r="AR4" i="2" s="1"/>
  <c r="M7" i="2"/>
  <c r="V7" i="2"/>
  <c r="W7" i="2" s="1"/>
  <c r="X7" i="2" s="1"/>
  <c r="Y7" i="2" s="1"/>
  <c r="Z7" i="2" s="1"/>
  <c r="M4" i="2"/>
  <c r="V6" i="2"/>
  <c r="W6" i="2" s="1"/>
  <c r="X6" i="2" s="1"/>
  <c r="Y6" i="2" s="1"/>
  <c r="Z6" i="2" s="1"/>
  <c r="V5" i="2"/>
  <c r="W5" i="2" s="1"/>
  <c r="X5" i="2" s="1"/>
  <c r="Y5" i="2" s="1"/>
  <c r="Z5" i="2" s="1"/>
  <c r="V4" i="2"/>
  <c r="W4" i="2" s="1"/>
  <c r="X4" i="2" s="1"/>
  <c r="Y4" i="2" s="1"/>
  <c r="Z4" i="2" s="1"/>
  <c r="AE7" i="2" l="1"/>
  <c r="AD7" i="2"/>
  <c r="AC7" i="2"/>
  <c r="AB7" i="2"/>
  <c r="AH7" i="2"/>
  <c r="AG7" i="2"/>
  <c r="AF7" i="2"/>
  <c r="AB6" i="2"/>
  <c r="AH6" i="2"/>
  <c r="AG6" i="2"/>
  <c r="AF6" i="2"/>
  <c r="AE6" i="2"/>
  <c r="AD6" i="2"/>
  <c r="AC6" i="2"/>
  <c r="AE5" i="2"/>
  <c r="AD5" i="2"/>
  <c r="AC5" i="2"/>
  <c r="AB5" i="2"/>
  <c r="AH5" i="2"/>
  <c r="AG5" i="2"/>
  <c r="AF5" i="2"/>
  <c r="AE4" i="2"/>
  <c r="AD4" i="2"/>
  <c r="AC4" i="2"/>
  <c r="AB4" i="2"/>
  <c r="AH4" i="2"/>
  <c r="AG4" i="2"/>
  <c r="AF4" i="2"/>
  <c r="AA7" i="2" l="1"/>
  <c r="AA5" i="2"/>
  <c r="AA6" i="2"/>
  <c r="AQ5" i="2"/>
  <c r="AO5" i="2" s="1"/>
  <c r="AT5" i="2"/>
  <c r="AU5" i="2" s="1"/>
  <c r="AA4" i="2"/>
  <c r="AQ7" i="2" l="1"/>
  <c r="AO7" i="2" s="1"/>
  <c r="AT7" i="2"/>
  <c r="AQ6" i="2"/>
  <c r="AO6" i="2" s="1"/>
  <c r="AT6" i="2"/>
  <c r="AU6" i="2" s="1"/>
  <c r="AQ4" i="2"/>
  <c r="AO4" i="2" s="1"/>
  <c r="AT4" i="2"/>
  <c r="AU4" i="2" s="1"/>
  <c r="AU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M1" authorId="0" shapeId="0" xr:uid="{00000000-0006-0000-0100-000001000000}">
      <text>
        <r>
          <rPr>
            <sz val="10"/>
            <color rgb="FF000000"/>
            <rFont val="Calibri"/>
            <family val="2"/>
            <scheme val="minor"/>
          </rPr>
          <t>1% Lương Cơ Bản : Mức đóng đoàn phí tối đa = 10% x Mức lương cơ sở
  - Mức lương cơ sở 2025:2.340.000 đồng/tháng - Áp dụng từ ngày 01/07/2025. 
  - Công ty giữ lại phí này</t>
        </r>
      </text>
    </comment>
    <comment ref="AU1" authorId="0" shapeId="0" xr:uid="{00000000-0006-0000-0100-000002000000}">
      <text>
        <r>
          <rPr>
            <sz val="10"/>
            <color rgb="FF000000"/>
            <rFont val="Calibri"/>
            <family val="2"/>
            <scheme val="minor"/>
          </rPr>
          <t>Phí Đoàn Viên + Thu Nhận NLĐ thực nhận + Tổng các khoản phải nộp hàng tháng cho CQNN</t>
        </r>
      </text>
    </comment>
    <comment ref="J2" authorId="0" shapeId="0" xr:uid="{00000000-0006-0000-0100-000003000000}">
      <text>
        <r>
          <rPr>
            <sz val="10"/>
            <color rgb="FF000000"/>
            <rFont val="Calibri"/>
            <family val="2"/>
            <scheme val="minor"/>
          </rPr>
          <t>"Tiền phụ cấp thuê nhà không vượt quá 15% tổng thu nhập chịu thuế TNCN (chưa bao gồm tiền thuê nhà
 Chịu thuế TNCN của 2310000Vnđ/tháng."</t>
        </r>
      </text>
    </comment>
  </commentList>
</comments>
</file>

<file path=xl/sharedStrings.xml><?xml version="1.0" encoding="utf-8"?>
<sst xmlns="http://schemas.openxmlformats.org/spreadsheetml/2006/main" count="234" uniqueCount="186">
  <si>
    <t>Đang làm việc</t>
  </si>
  <si>
    <t>Full-time</t>
  </si>
  <si>
    <t>ĐẠT</t>
  </si>
  <si>
    <t xml:space="preserve">Nam </t>
  </si>
  <si>
    <t xml:space="preserve">Họ tên </t>
  </si>
  <si>
    <t>Lương CB</t>
  </si>
  <si>
    <t xml:space="preserve">Vị trí / chức vụ </t>
  </si>
  <si>
    <t>Ngày sinh</t>
  </si>
  <si>
    <t>EMAIL</t>
  </si>
  <si>
    <t>SĐT</t>
  </si>
  <si>
    <t>THÔNG TIN CĂN CƯỚC CÔNG DÂN</t>
  </si>
  <si>
    <t>Địa chỉ thường trú (ghi theo thông tin trên app VNeID)</t>
  </si>
  <si>
    <t>Địa chỉ tạm trú (ghi theo thông tin trên app VNeID)</t>
  </si>
  <si>
    <t>Số tài khoản ngân hàng</t>
  </si>
  <si>
    <t xml:space="preserve">Tại ngân hàng - Chi nhánh </t>
  </si>
  <si>
    <t>Tên chủ thẻ</t>
  </si>
  <si>
    <t>MST</t>
  </si>
  <si>
    <t>Số người phụ thuộc ĐK</t>
  </si>
  <si>
    <t>Số BHXH</t>
  </si>
  <si>
    <t>NGƯỜI LIÊN HỆ KHẨN CẤP
(Tên-SĐT)</t>
  </si>
  <si>
    <t xml:space="preserve">TÌNH TRẠNG </t>
  </si>
  <si>
    <t xml:space="preserve">Mã nhân viên </t>
  </si>
  <si>
    <t xml:space="preserve">Hợp đồng thử việc </t>
  </si>
  <si>
    <t>Hợp đồng lao động 1</t>
  </si>
  <si>
    <t>Hợp đồng lao động 2</t>
  </si>
  <si>
    <t>Hợp đồng lao động 3</t>
  </si>
  <si>
    <t>Giấy tờ/ phụ lục khác nếu có</t>
  </si>
  <si>
    <t>Ghi chú nhân sự</t>
  </si>
  <si>
    <t xml:space="preserve">GIẤY TỜ NHÂN SỰ </t>
  </si>
  <si>
    <t>Ngày làm việc cuối cùng</t>
  </si>
  <si>
    <t xml:space="preserve">Thông tin phục vụ báo cáo </t>
  </si>
  <si>
    <t>SỐ CCCD</t>
  </si>
  <si>
    <t>Ngày cấp</t>
  </si>
  <si>
    <t>NƠI CẤP</t>
  </si>
  <si>
    <t>Tình trạng làm việc</t>
  </si>
  <si>
    <t>Loại hợp đồng</t>
  </si>
  <si>
    <t>Hình thức làm việc</t>
  </si>
  <si>
    <t>Mã số BBTT (nếu có)</t>
  </si>
  <si>
    <t>Ngày bắt đầu</t>
  </si>
  <si>
    <t>Ngày kết thúc</t>
  </si>
  <si>
    <t xml:space="preserve">Mã hợp đồng </t>
  </si>
  <si>
    <t>Đánh giá</t>
  </si>
  <si>
    <t xml:space="preserve">Phân loại </t>
  </si>
  <si>
    <t>Sơ yếu lý lịch (có công chứng)</t>
  </si>
  <si>
    <t>Photo Thẻ căn cước Công dân (có công chứng)</t>
  </si>
  <si>
    <t xml:space="preserve">Văn bằng, chứng chỉ liên quan. </t>
  </si>
  <si>
    <t>Hai hình thẻ 3*4</t>
  </si>
  <si>
    <t>Giấy khám sức khỏe 304</t>
  </si>
  <si>
    <t>Bằng lái xe (Áp dụng với tài xế)</t>
  </si>
  <si>
    <t>Giới tính</t>
  </si>
  <si>
    <t>Sinh nhật</t>
  </si>
  <si>
    <t>Tuổi</t>
  </si>
  <si>
    <t>Ngày nhập hồ sơ</t>
  </si>
  <si>
    <t>Phòng ban</t>
  </si>
  <si>
    <t>Chuyên Viên Tuyển Dụng</t>
  </si>
  <si>
    <t>0933 138 900</t>
  </si>
  <si>
    <t>052188011604</t>
  </si>
  <si>
    <t>23/02/2022</t>
  </si>
  <si>
    <t>Cục trưởng Cục Cảnh sát QLHC về TTXH</t>
  </si>
  <si>
    <t>512 Ngô Gia Tự, Bình Định, Thị xã An Nhơn, Bình Định</t>
  </si>
  <si>
    <t>65 Nhất Chi Mai, phường 13, Quận Tân Bình, HCM</t>
  </si>
  <si>
    <t>1903 3639 257017</t>
  </si>
  <si>
    <t>Ngân Hàng Techcombank</t>
  </si>
  <si>
    <t>0</t>
  </si>
  <si>
    <t>7909389853</t>
  </si>
  <si>
    <t>Thử việc</t>
  </si>
  <si>
    <t>0010-HCNS-NV</t>
  </si>
  <si>
    <t>0010-HCNS-NV/BBTT-HĐTV-ONE</t>
  </si>
  <si>
    <t>0010-HCNS-NV/HĐTV-ONE</t>
  </si>
  <si>
    <t>Nữ</t>
  </si>
  <si>
    <t>HCNS</t>
  </si>
  <si>
    <t>Vận hành VP</t>
  </si>
  <si>
    <t>STT</t>
  </si>
  <si>
    <t>Trợ lý Vận hành Kỹ thuật</t>
  </si>
  <si>
    <t>0909181019</t>
  </si>
  <si>
    <t>035090006422</t>
  </si>
  <si>
    <t>29/04/2021</t>
  </si>
  <si>
    <t>Tổ 11, ấp Hưng Lập A, xã Tân Hưng, tỉnh Đồng Nai</t>
  </si>
  <si>
    <t>04 đuờng Đào Trí, phương Phú Thuận, TP. Hồ Chí Minh</t>
  </si>
  <si>
    <t>Vietcombank</t>
  </si>
  <si>
    <t>1</t>
  </si>
  <si>
    <t>7913292869</t>
  </si>
  <si>
    <t>0003-VH-NV</t>
  </si>
  <si>
    <t>0003-VH-NV/BBTT-HĐTV-ONE</t>
  </si>
  <si>
    <t xml:space="preserve">0003-VH-NV/HDTV-ONE	</t>
  </si>
  <si>
    <t>Kỹ thuật</t>
  </si>
  <si>
    <t>Nguyễn Văn A</t>
  </si>
  <si>
    <t>Nguyễn Thu D</t>
  </si>
  <si>
    <t>Trần Văn B</t>
  </si>
  <si>
    <t>THÔNG TIN NHÂN SỰ</t>
  </si>
  <si>
    <t xml:space="preserve">HỌ TÊN NHÂN VIÊN </t>
  </si>
  <si>
    <t>Lương cơ bản</t>
  </si>
  <si>
    <t>Các khoản trợ cấp</t>
  </si>
  <si>
    <t>Các khoản giảm trừ</t>
  </si>
  <si>
    <t>Các khoản Người Lao Động phải nộp cho CQNN</t>
  </si>
  <si>
    <t>Thuế TNCN</t>
  </si>
  <si>
    <t>Các khoản Công ty phải nộp cho CQNN</t>
  </si>
  <si>
    <t>Kinh phí Công Đoàn</t>
  </si>
  <si>
    <t>Tổng các khoản phải nộp hàng tháng cho CQNN</t>
  </si>
  <si>
    <t>Thu nhập Người Lao Động thực nhận</t>
  </si>
  <si>
    <t>Tổng ngân sách Công ty dùng cho Người Lao Động</t>
  </si>
  <si>
    <t>Tổng Các khoản trợ cấp</t>
  </si>
  <si>
    <r>
      <rPr>
        <b/>
        <sz val="10"/>
        <color theme="1"/>
        <rFont val="Times New Roman"/>
        <family val="1"/>
      </rPr>
      <t>Tiền ăn</t>
    </r>
    <r>
      <rPr>
        <i/>
        <sz val="10"/>
        <color theme="1"/>
        <rFont val="Times New Roman"/>
        <family val="1"/>
      </rPr>
      <t xml:space="preserve"> (miễn thuế TNCN)</t>
    </r>
  </si>
  <si>
    <t>Tiền hỗ trợ xăng xe</t>
  </si>
  <si>
    <r>
      <rPr>
        <b/>
        <sz val="10"/>
        <color theme="1"/>
        <rFont val="Times New Roman"/>
        <family val="1"/>
      </rPr>
      <t xml:space="preserve">Tiền hỗ trợ điện thoại </t>
    </r>
    <r>
      <rPr>
        <i/>
        <sz val="10"/>
        <color theme="1"/>
        <rFont val="Times New Roman"/>
        <family val="1"/>
      </rPr>
      <t>(miễn thuế TNCN)</t>
    </r>
  </si>
  <si>
    <t>Tiền hỗ trợ đi lại</t>
  </si>
  <si>
    <t>Tiền hỗ trợ giữ trẻ</t>
  </si>
  <si>
    <t>Tiền hỗ trợ nhà ở</t>
  </si>
  <si>
    <t>Tiền hỗ trợ nuôi con nhỏ</t>
  </si>
  <si>
    <r>
      <rPr>
        <b/>
        <sz val="10"/>
        <color theme="1"/>
        <rFont val="Times New Roman"/>
        <family val="1"/>
      </rPr>
      <t xml:space="preserve">Chi phí trang phục / tháng </t>
    </r>
    <r>
      <rPr>
        <i/>
        <sz val="10"/>
        <color theme="1"/>
        <rFont val="Times New Roman"/>
        <family val="1"/>
      </rPr>
      <t>(miễn thuế TNCN)</t>
    </r>
  </si>
  <si>
    <t>Tổng giảm trừ</t>
  </si>
  <si>
    <t>Số người phụ thuộc</t>
  </si>
  <si>
    <t>Giảm trừ gia cảnh bản thân</t>
  </si>
  <si>
    <t>Giảm trừ gia cảnh người phụ thuộc</t>
  </si>
  <si>
    <t>Tổng cộng</t>
  </si>
  <si>
    <t>Bảo hiểm xã hội 
8%</t>
  </si>
  <si>
    <t>Bảo hiểm thất nghiệp 
1,5%</t>
  </si>
  <si>
    <t>Bảo hiểm y tế
1%</t>
  </si>
  <si>
    <t>Tổng Thu Nhập</t>
  </si>
  <si>
    <t>Tổng thu nhập chưa bao gồm [Tiền hỗ trợ nhà ở]</t>
  </si>
  <si>
    <t>[Tiền hỗ trợ nhà ở] chịu thuế TNCN</t>
  </si>
  <si>
    <t>Chênh lệch tiền thuê nhà được miễn thuế TNCN</t>
  </si>
  <si>
    <t>Tổng thu nhập chịu thuế TNCN</t>
  </si>
  <si>
    <t>Tổng thu nhập tính thuế TNCN</t>
  </si>
  <si>
    <t>Thuế TNCN phải nộp</t>
  </si>
  <si>
    <t>Thuế thu nhập cá nhân phải nộp
0 - 5tr ; 5%</t>
  </si>
  <si>
    <t>Thuế thu nhập cá nhân phải nộp
5TR &lt;x&lt; 10TR; 10%</t>
  </si>
  <si>
    <t>Thuế thu nhập cá nhân phải nộp
10TR &lt;x&lt;18TR; 20%</t>
  </si>
  <si>
    <t>Thuế thu nhập cá nhân phải nộp
18TR &lt;x&lt; 32TR; 10%</t>
  </si>
  <si>
    <t>Thuế thu nhập cá nhân phải nộp
32TR &lt;x&lt; 52TR; 25%</t>
  </si>
  <si>
    <t>Thuế thu nhập cá nhân phải nộp
52TR &lt;x&lt; 80TR; 30%</t>
  </si>
  <si>
    <t>Thuế thu nhập cá nhân phải nộp
X&gt; 80TR; 35%</t>
  </si>
  <si>
    <t>Bảo hiểm xã hội 17,5% LCB</t>
  </si>
  <si>
    <t>Bảo hiểm thất nghiệp 1% LCB</t>
  </si>
  <si>
    <t>Bảo hiểm y tế 3%LCB</t>
  </si>
  <si>
    <t>Phí đoàn viên</t>
  </si>
  <si>
    <t>Tổng các khoản BHXH Người Lao Động phải nộp hàng tháng cho CQNN</t>
  </si>
  <si>
    <t>Tổng các khoản thuế TNCN Người Lao Động phải nộp hàng tháng cho CQNN</t>
  </si>
  <si>
    <t>Tổng các khoản BHXH Công ty phải nộp hàng tháng cho CQNN</t>
  </si>
  <si>
    <t>Tổng các khoản Kinh phí Công Đoàn phải nộp hàng tháng cho CQNN</t>
  </si>
  <si>
    <t>Chuyên viên thiết kế dữ liệu</t>
  </si>
  <si>
    <t>0909390282</t>
  </si>
  <si>
    <t>079082026900</t>
  </si>
  <si>
    <t>19/04/2023</t>
  </si>
  <si>
    <t>N20 Cư xá Phú Lâm B, Phường Phú Lâm, TP. HCM</t>
  </si>
  <si>
    <t>ACB</t>
  </si>
  <si>
    <t>8060160429</t>
  </si>
  <si>
    <t>2</t>
  </si>
  <si>
    <t>0207024485</t>
  </si>
  <si>
    <t>Trần Thị Lan Thảo - 0908819882 - Vợ</t>
  </si>
  <si>
    <t>Chính thức</t>
  </si>
  <si>
    <t>0007-VH-NV</t>
  </si>
  <si>
    <t>KHÔNG CÓ BBTT.HĐTV</t>
  </si>
  <si>
    <t>1606/HDTV-2021</t>
  </si>
  <si>
    <t>KHÔNG CÓ BBTT.HĐLĐ</t>
  </si>
  <si>
    <t>1606/HDLĐ-2021</t>
  </si>
  <si>
    <t>Xác định thời hạn 1 năm</t>
  </si>
  <si>
    <t>1606/HĐLĐ-2022</t>
  </si>
  <si>
    <t>Xác định thời hạn 2 năm</t>
  </si>
  <si>
    <t>0007-VH-NV/2025/BBTT-HĐLĐ-ONE</t>
  </si>
  <si>
    <t>0007-VH-NV/2025/HĐLĐ-ONE</t>
  </si>
  <si>
    <t xml:space="preserve">Không xác định thời hạn </t>
  </si>
  <si>
    <t>0501-01/22/PL HĐLĐ</t>
  </si>
  <si>
    <t>0101/2022/PL HĐLĐ</t>
  </si>
  <si>
    <t>0101-07/2023/PL HĐLĐ</t>
  </si>
  <si>
    <t>Thiết kế</t>
  </si>
  <si>
    <t>Chuyên Viên Vận Hành và Dữ Liệu Bản Đồ</t>
  </si>
  <si>
    <t>0782944954</t>
  </si>
  <si>
    <t>086199000300</t>
  </si>
  <si>
    <t>10/05/2024</t>
  </si>
  <si>
    <t>Cục Cảnh sát QLHC về TTXH</t>
  </si>
  <si>
    <t>Khóm 2, Xã Tam Bình, Tỉnh Vĩnh Long</t>
  </si>
  <si>
    <t>402/8 Lê Văn Sỹ, Phường Nhiêu Lộc, TPHCM</t>
  </si>
  <si>
    <t>Ngân hàng Phương Đông OCB</t>
  </si>
  <si>
    <t>8621699447</t>
  </si>
  <si>
    <t>Ân Hồng Kim Ý
0775886762</t>
  </si>
  <si>
    <t>0004-VH-NV</t>
  </si>
  <si>
    <t>0004-VH-NV/BBTT-HĐTV-ONE</t>
  </si>
  <si>
    <t>0004-VH-NV/HĐTV-ONE</t>
  </si>
  <si>
    <t>0004-VH-NV/BBTT-HĐLĐ-ONE</t>
  </si>
  <si>
    <t>0004-VH-NV/HĐLĐ-ONE</t>
  </si>
  <si>
    <t>Ân Hồng C</t>
  </si>
  <si>
    <t>nguyennhattung2104@gmail.com</t>
  </si>
  <si>
    <t>thaonguyentt021@gmail.com</t>
  </si>
  <si>
    <t>kenzopassion2022@gmail.com</t>
  </si>
  <si>
    <t>thaonguyentt7021@gmail.com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</si>
</sst>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3" x14ac:knownFonts="1"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FFFFFF"/>
      <name val="Times New Roman"/>
      <family val="1"/>
    </font>
    <font>
      <b/>
      <sz val="10"/>
      <color rgb="FF434343"/>
      <name val="Times New Roman"/>
      <family val="1"/>
    </font>
    <font>
      <i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b/>
      <sz val="10"/>
      <color rgb="FF212529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EE6983"/>
        <bgColor rgb="FFEE6983"/>
      </patternFill>
    </fill>
    <fill>
      <patternFill patternType="solid">
        <fgColor rgb="FF666666"/>
        <bgColor rgb="FF666666"/>
      </patternFill>
    </fill>
    <fill>
      <patternFill patternType="solid">
        <fgColor rgb="FFD7FFFF"/>
        <bgColor rgb="FFD7FF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C4C4"/>
        <bgColor rgb="FFFFC4C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2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14" fontId="3" fillId="14" borderId="2" xfId="0" applyNumberFormat="1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8" fillId="19" borderId="2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9" fillId="0" borderId="2" xfId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64" fontId="2" fillId="22" borderId="18" xfId="0" applyNumberFormat="1" applyFont="1" applyFill="1" applyBorder="1" applyAlignment="1">
      <alignment horizontal="center" vertical="center" wrapText="1"/>
    </xf>
    <xf numFmtId="0" fontId="2" fillId="27" borderId="18" xfId="0" applyFont="1" applyFill="1" applyBorder="1" applyAlignment="1">
      <alignment horizontal="center" vertical="center" wrapText="1"/>
    </xf>
    <xf numFmtId="164" fontId="2" fillId="27" borderId="18" xfId="0" applyNumberFormat="1" applyFont="1" applyFill="1" applyBorder="1" applyAlignment="1">
      <alignment horizontal="center" vertical="center" wrapText="1"/>
    </xf>
    <xf numFmtId="49" fontId="2" fillId="14" borderId="18" xfId="0" applyNumberFormat="1" applyFont="1" applyFill="1" applyBorder="1" applyAlignment="1">
      <alignment horizontal="center" vertical="center" wrapText="1"/>
    </xf>
    <xf numFmtId="49" fontId="2" fillId="28" borderId="18" xfId="0" applyNumberFormat="1" applyFont="1" applyFill="1" applyBorder="1" applyAlignment="1">
      <alignment horizontal="center" vertical="center" wrapText="1"/>
    </xf>
    <xf numFmtId="49" fontId="2" fillId="16" borderId="18" xfId="0" applyNumberFormat="1" applyFont="1" applyFill="1" applyBorder="1" applyAlignment="1">
      <alignment horizontal="center" vertical="center" wrapText="1"/>
    </xf>
    <xf numFmtId="49" fontId="2" fillId="17" borderId="18" xfId="0" applyNumberFormat="1" applyFont="1" applyFill="1" applyBorder="1" applyAlignment="1">
      <alignment horizontal="center" vertical="center" wrapText="1"/>
    </xf>
    <xf numFmtId="49" fontId="10" fillId="28" borderId="18" xfId="0" applyNumberFormat="1" applyFont="1" applyFill="1" applyBorder="1" applyAlignment="1">
      <alignment horizontal="center" vertical="center" wrapText="1"/>
    </xf>
    <xf numFmtId="49" fontId="8" fillId="19" borderId="18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/>
    </xf>
    <xf numFmtId="3" fontId="1" fillId="0" borderId="18" xfId="0" applyNumberFormat="1" applyFont="1" applyBorder="1" applyAlignment="1">
      <alignment horizontal="center"/>
    </xf>
    <xf numFmtId="3" fontId="1" fillId="0" borderId="18" xfId="0" applyNumberFormat="1" applyFont="1" applyBorder="1" applyAlignment="1">
      <alignment horizontal="center" wrapText="1"/>
    </xf>
    <xf numFmtId="3" fontId="1" fillId="20" borderId="18" xfId="0" applyNumberFormat="1" applyFont="1" applyFill="1" applyBorder="1" applyAlignment="1">
      <alignment horizontal="center"/>
    </xf>
    <xf numFmtId="3" fontId="1" fillId="12" borderId="18" xfId="0" applyNumberFormat="1" applyFont="1" applyFill="1" applyBorder="1" applyAlignment="1">
      <alignment horizontal="center"/>
    </xf>
    <xf numFmtId="49" fontId="1" fillId="0" borderId="0" xfId="0" applyNumberFormat="1" applyFont="1"/>
    <xf numFmtId="3" fontId="1" fillId="0" borderId="0" xfId="0" applyNumberFormat="1" applyFont="1"/>
    <xf numFmtId="49" fontId="12" fillId="0" borderId="0" xfId="0" applyNumberFormat="1" applyFont="1"/>
    <xf numFmtId="49" fontId="1" fillId="0" borderId="2" xfId="0" quotePrefix="1" applyNumberFormat="1" applyFont="1" applyBorder="1" applyAlignment="1">
      <alignment horizontal="center" vertical="center" wrapText="1"/>
    </xf>
    <xf numFmtId="3" fontId="1" fillId="0" borderId="16" xfId="0" applyNumberFormat="1" applyFont="1" applyBorder="1" applyAlignment="1">
      <alignment horizontal="center" wrapText="1"/>
    </xf>
    <xf numFmtId="4" fontId="8" fillId="19" borderId="13" xfId="0" applyNumberFormat="1" applyFont="1" applyFill="1" applyBorder="1" applyAlignment="1">
      <alignment horizontal="center"/>
    </xf>
    <xf numFmtId="49" fontId="8" fillId="19" borderId="13" xfId="0" applyNumberFormat="1" applyFont="1" applyFill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5" fillId="10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5" fillId="11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9" fontId="5" fillId="26" borderId="13" xfId="0" applyNumberFormat="1" applyFont="1" applyFill="1" applyBorder="1" applyAlignment="1">
      <alignment horizontal="center" vertical="center" wrapText="1"/>
    </xf>
    <xf numFmtId="0" fontId="4" fillId="0" borderId="17" xfId="0" applyFont="1" applyBorder="1"/>
    <xf numFmtId="49" fontId="3" fillId="20" borderId="13" xfId="0" applyNumberFormat="1" applyFont="1" applyFill="1" applyBorder="1" applyAlignment="1">
      <alignment horizontal="center" vertical="center" wrapText="1"/>
    </xf>
    <xf numFmtId="49" fontId="2" fillId="21" borderId="13" xfId="0" applyNumberFormat="1" applyFont="1" applyFill="1" applyBorder="1" applyAlignment="1">
      <alignment horizontal="center" vertical="center"/>
    </xf>
    <xf numFmtId="164" fontId="2" fillId="22" borderId="14" xfId="0" applyNumberFormat="1" applyFont="1" applyFill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49" fontId="2" fillId="5" borderId="14" xfId="0" applyNumberFormat="1" applyFont="1" applyFill="1" applyBorder="1" applyAlignment="1">
      <alignment horizontal="center" vertical="center" wrapText="1"/>
    </xf>
    <xf numFmtId="49" fontId="2" fillId="23" borderId="14" xfId="0" applyNumberFormat="1" applyFont="1" applyFill="1" applyBorder="1" applyAlignment="1">
      <alignment horizontal="center" vertical="center" wrapText="1"/>
    </xf>
    <xf numFmtId="49" fontId="2" fillId="7" borderId="14" xfId="0" applyNumberFormat="1" applyFont="1" applyFill="1" applyBorder="1" applyAlignment="1">
      <alignment horizontal="center" vertical="center"/>
    </xf>
    <xf numFmtId="49" fontId="2" fillId="8" borderId="14" xfId="0" applyNumberFormat="1" applyFont="1" applyFill="1" applyBorder="1" applyAlignment="1">
      <alignment horizontal="center" vertical="center" wrapText="1"/>
    </xf>
    <xf numFmtId="49" fontId="2" fillId="24" borderId="14" xfId="0" applyNumberFormat="1" applyFont="1" applyFill="1" applyBorder="1" applyAlignment="1">
      <alignment horizontal="center" vertical="center" wrapText="1"/>
    </xf>
    <xf numFmtId="49" fontId="2" fillId="25" borderId="13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99999"/>
      </font>
      <fill>
        <patternFill patternType="none"/>
      </fill>
    </dxf>
    <dxf>
      <font>
        <color rgb="FF99999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iết lậ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nhattung2104@gmail.com" TargetMode="External"/><Relationship Id="rId2" Type="http://schemas.openxmlformats.org/officeDocument/2006/relationships/hyperlink" Target="mailto:thaonguyentt7021@gmail.com" TargetMode="External"/><Relationship Id="rId1" Type="http://schemas.openxmlformats.org/officeDocument/2006/relationships/hyperlink" Target="mailto:thaonguyentt021@gmail.com" TargetMode="External"/><Relationship Id="rId4" Type="http://schemas.openxmlformats.org/officeDocument/2006/relationships/hyperlink" Target="mailto:kenzopassion2022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"/>
  <sheetViews>
    <sheetView tabSelected="1" topLeftCell="A2" workbookViewId="0">
      <selection activeCell="F9" sqref="F9"/>
    </sheetView>
  </sheetViews>
  <sheetFormatPr baseColWidth="10" defaultColWidth="8.83203125" defaultRowHeight="15" x14ac:dyDescent="0.2"/>
  <cols>
    <col min="6" max="6" width="11.5" customWidth="1"/>
    <col min="7" max="7" width="10.5" customWidth="1"/>
    <col min="13" max="13" width="12.83203125" customWidth="1"/>
    <col min="14" max="14" width="10.6640625" customWidth="1"/>
    <col min="18" max="18" width="10.6640625" customWidth="1"/>
  </cols>
  <sheetData>
    <row r="1" spans="1:63" ht="21.75" customHeight="1" x14ac:dyDescent="0.2">
      <c r="E1" s="58" t="s">
        <v>89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3" spans="1:63" ht="37.5" customHeight="1" x14ac:dyDescent="0.2">
      <c r="A3" s="70" t="s">
        <v>72</v>
      </c>
      <c r="B3" s="70" t="s">
        <v>4</v>
      </c>
      <c r="C3" s="74" t="s">
        <v>5</v>
      </c>
      <c r="D3" s="70" t="s">
        <v>6</v>
      </c>
      <c r="E3" s="70" t="s">
        <v>7</v>
      </c>
      <c r="F3" s="70" t="s">
        <v>8</v>
      </c>
      <c r="G3" s="71" t="s">
        <v>9</v>
      </c>
      <c r="H3" s="73" t="s">
        <v>10</v>
      </c>
      <c r="I3" s="54"/>
      <c r="J3" s="57"/>
      <c r="K3" s="70" t="s">
        <v>11</v>
      </c>
      <c r="L3" s="70" t="s">
        <v>12</v>
      </c>
      <c r="M3" s="70" t="s">
        <v>13</v>
      </c>
      <c r="N3" s="70" t="s">
        <v>14</v>
      </c>
      <c r="O3" s="70" t="s">
        <v>15</v>
      </c>
      <c r="P3" s="71" t="s">
        <v>16</v>
      </c>
      <c r="Q3" s="71" t="s">
        <v>17</v>
      </c>
      <c r="R3" s="71" t="s">
        <v>18</v>
      </c>
      <c r="S3" s="70" t="s">
        <v>19</v>
      </c>
      <c r="T3" s="72" t="s">
        <v>20</v>
      </c>
      <c r="U3" s="54"/>
      <c r="V3" s="57"/>
      <c r="W3" s="59" t="s">
        <v>21</v>
      </c>
      <c r="X3" s="60" t="s">
        <v>22</v>
      </c>
      <c r="Y3" s="54"/>
      <c r="Z3" s="54"/>
      <c r="AA3" s="54"/>
      <c r="AB3" s="57"/>
      <c r="AC3" s="61" t="s">
        <v>23</v>
      </c>
      <c r="AD3" s="54"/>
      <c r="AE3" s="54"/>
      <c r="AF3" s="54"/>
      <c r="AG3" s="57"/>
      <c r="AH3" s="62" t="s">
        <v>24</v>
      </c>
      <c r="AI3" s="54"/>
      <c r="AJ3" s="54"/>
      <c r="AK3" s="54"/>
      <c r="AL3" s="57"/>
      <c r="AM3" s="63" t="s">
        <v>25</v>
      </c>
      <c r="AN3" s="54"/>
      <c r="AO3" s="54"/>
      <c r="AP3" s="54"/>
      <c r="AQ3" s="57"/>
      <c r="AR3" s="64" t="s">
        <v>26</v>
      </c>
      <c r="AS3" s="65"/>
      <c r="AT3" s="65"/>
      <c r="AU3" s="65"/>
      <c r="AV3" s="65"/>
      <c r="AW3" s="66"/>
      <c r="AX3" s="51" t="s">
        <v>27</v>
      </c>
      <c r="AY3" s="53" t="s">
        <v>28</v>
      </c>
      <c r="AZ3" s="54"/>
      <c r="BA3" s="54"/>
      <c r="BB3" s="54"/>
      <c r="BC3" s="54"/>
      <c r="BD3" s="54"/>
      <c r="BE3" s="55" t="s">
        <v>29</v>
      </c>
      <c r="BF3" s="56" t="s">
        <v>30</v>
      </c>
      <c r="BG3" s="54"/>
      <c r="BH3" s="54"/>
      <c r="BI3" s="54"/>
      <c r="BJ3" s="57"/>
      <c r="BK3" s="8"/>
    </row>
    <row r="4" spans="1:63" ht="39.75" customHeight="1" x14ac:dyDescent="0.2">
      <c r="A4" s="52"/>
      <c r="B4" s="52"/>
      <c r="C4" s="52"/>
      <c r="D4" s="52"/>
      <c r="E4" s="52"/>
      <c r="F4" s="52"/>
      <c r="G4" s="52"/>
      <c r="H4" s="9" t="s">
        <v>31</v>
      </c>
      <c r="I4" s="9" t="s">
        <v>32</v>
      </c>
      <c r="J4" s="9" t="s">
        <v>33</v>
      </c>
      <c r="K4" s="52"/>
      <c r="L4" s="52"/>
      <c r="M4" s="52"/>
      <c r="N4" s="52"/>
      <c r="O4" s="52"/>
      <c r="P4" s="52"/>
      <c r="Q4" s="52"/>
      <c r="R4" s="52"/>
      <c r="S4" s="52"/>
      <c r="T4" s="10" t="s">
        <v>34</v>
      </c>
      <c r="U4" s="10" t="s">
        <v>35</v>
      </c>
      <c r="V4" s="10" t="s">
        <v>36</v>
      </c>
      <c r="W4" s="52"/>
      <c r="X4" s="11" t="s">
        <v>37</v>
      </c>
      <c r="Y4" s="12" t="s">
        <v>38</v>
      </c>
      <c r="Z4" s="12" t="s">
        <v>39</v>
      </c>
      <c r="AA4" s="13" t="s">
        <v>40</v>
      </c>
      <c r="AB4" s="13" t="s">
        <v>41</v>
      </c>
      <c r="AC4" s="14" t="s">
        <v>37</v>
      </c>
      <c r="AD4" s="14" t="s">
        <v>38</v>
      </c>
      <c r="AE4" s="14" t="s">
        <v>39</v>
      </c>
      <c r="AF4" s="14" t="s">
        <v>40</v>
      </c>
      <c r="AG4" s="14" t="s">
        <v>42</v>
      </c>
      <c r="AH4" s="15" t="s">
        <v>37</v>
      </c>
      <c r="AI4" s="15" t="s">
        <v>38</v>
      </c>
      <c r="AJ4" s="15" t="s">
        <v>39</v>
      </c>
      <c r="AK4" s="15" t="s">
        <v>40</v>
      </c>
      <c r="AL4" s="15" t="s">
        <v>42</v>
      </c>
      <c r="AM4" s="16" t="s">
        <v>37</v>
      </c>
      <c r="AN4" s="16" t="s">
        <v>38</v>
      </c>
      <c r="AO4" s="16" t="s">
        <v>39</v>
      </c>
      <c r="AP4" s="16" t="s">
        <v>40</v>
      </c>
      <c r="AQ4" s="16" t="s">
        <v>42</v>
      </c>
      <c r="AR4" s="67"/>
      <c r="AS4" s="68"/>
      <c r="AT4" s="68"/>
      <c r="AU4" s="68"/>
      <c r="AV4" s="68"/>
      <c r="AW4" s="69"/>
      <c r="AX4" s="52"/>
      <c r="AY4" s="17" t="s">
        <v>43</v>
      </c>
      <c r="AZ4" s="17" t="s">
        <v>44</v>
      </c>
      <c r="BA4" s="17" t="s">
        <v>45</v>
      </c>
      <c r="BB4" s="17" t="s">
        <v>46</v>
      </c>
      <c r="BC4" s="17" t="s">
        <v>47</v>
      </c>
      <c r="BD4" s="17" t="s">
        <v>48</v>
      </c>
      <c r="BE4" s="52"/>
      <c r="BF4" s="18" t="s">
        <v>49</v>
      </c>
      <c r="BG4" s="18" t="s">
        <v>50</v>
      </c>
      <c r="BH4" s="18" t="s">
        <v>51</v>
      </c>
      <c r="BI4" s="19" t="s">
        <v>52</v>
      </c>
      <c r="BJ4" s="18" t="s">
        <v>53</v>
      </c>
      <c r="BK4" s="20"/>
    </row>
    <row r="5" spans="1:63" x14ac:dyDescent="0.2">
      <c r="A5" s="21"/>
      <c r="B5" s="21">
        <v>1</v>
      </c>
      <c r="C5" s="21">
        <f t="shared" ref="C5:BD5" si="0">B5+1</f>
        <v>2</v>
      </c>
      <c r="D5" s="21">
        <f t="shared" si="0"/>
        <v>3</v>
      </c>
      <c r="E5" s="21">
        <f t="shared" si="0"/>
        <v>4</v>
      </c>
      <c r="F5" s="21">
        <f t="shared" si="0"/>
        <v>5</v>
      </c>
      <c r="G5" s="21">
        <f t="shared" si="0"/>
        <v>6</v>
      </c>
      <c r="H5" s="21">
        <f t="shared" si="0"/>
        <v>7</v>
      </c>
      <c r="I5" s="21">
        <f t="shared" si="0"/>
        <v>8</v>
      </c>
      <c r="J5" s="21">
        <f t="shared" si="0"/>
        <v>9</v>
      </c>
      <c r="K5" s="21">
        <f t="shared" si="0"/>
        <v>10</v>
      </c>
      <c r="L5" s="21">
        <f t="shared" si="0"/>
        <v>11</v>
      </c>
      <c r="M5" s="21">
        <f t="shared" si="0"/>
        <v>12</v>
      </c>
      <c r="N5" s="21">
        <f t="shared" si="0"/>
        <v>13</v>
      </c>
      <c r="O5" s="21">
        <f t="shared" si="0"/>
        <v>14</v>
      </c>
      <c r="P5" s="21">
        <f t="shared" si="0"/>
        <v>15</v>
      </c>
      <c r="Q5" s="21">
        <f t="shared" si="0"/>
        <v>16</v>
      </c>
      <c r="R5" s="21">
        <f t="shared" si="0"/>
        <v>17</v>
      </c>
      <c r="S5" s="21">
        <f t="shared" si="0"/>
        <v>18</v>
      </c>
      <c r="T5" s="21">
        <f t="shared" si="0"/>
        <v>19</v>
      </c>
      <c r="U5" s="21">
        <f t="shared" si="0"/>
        <v>20</v>
      </c>
      <c r="V5" s="21">
        <f t="shared" si="0"/>
        <v>21</v>
      </c>
      <c r="W5" s="21">
        <f t="shared" si="0"/>
        <v>22</v>
      </c>
      <c r="X5" s="21">
        <f t="shared" si="0"/>
        <v>23</v>
      </c>
      <c r="Y5" s="21">
        <f t="shared" si="0"/>
        <v>24</v>
      </c>
      <c r="Z5" s="21">
        <f t="shared" si="0"/>
        <v>25</v>
      </c>
      <c r="AA5" s="21">
        <f t="shared" si="0"/>
        <v>26</v>
      </c>
      <c r="AB5" s="21">
        <f t="shared" si="0"/>
        <v>27</v>
      </c>
      <c r="AC5" s="21">
        <f t="shared" si="0"/>
        <v>28</v>
      </c>
      <c r="AD5" s="21">
        <f t="shared" si="0"/>
        <v>29</v>
      </c>
      <c r="AE5" s="21">
        <f t="shared" si="0"/>
        <v>30</v>
      </c>
      <c r="AF5" s="21">
        <f t="shared" si="0"/>
        <v>31</v>
      </c>
      <c r="AG5" s="21">
        <f t="shared" si="0"/>
        <v>32</v>
      </c>
      <c r="AH5" s="21">
        <f t="shared" si="0"/>
        <v>33</v>
      </c>
      <c r="AI5" s="21">
        <f t="shared" si="0"/>
        <v>34</v>
      </c>
      <c r="AJ5" s="21">
        <f t="shared" si="0"/>
        <v>35</v>
      </c>
      <c r="AK5" s="21">
        <f t="shared" si="0"/>
        <v>36</v>
      </c>
      <c r="AL5" s="21">
        <f t="shared" si="0"/>
        <v>37</v>
      </c>
      <c r="AM5" s="21">
        <f t="shared" si="0"/>
        <v>38</v>
      </c>
      <c r="AN5" s="21">
        <f t="shared" si="0"/>
        <v>39</v>
      </c>
      <c r="AO5" s="21">
        <f t="shared" si="0"/>
        <v>40</v>
      </c>
      <c r="AP5" s="21">
        <f t="shared" si="0"/>
        <v>41</v>
      </c>
      <c r="AQ5" s="21">
        <f t="shared" si="0"/>
        <v>42</v>
      </c>
      <c r="AR5" s="21">
        <f t="shared" si="0"/>
        <v>43</v>
      </c>
      <c r="AS5" s="21">
        <f t="shared" si="0"/>
        <v>44</v>
      </c>
      <c r="AT5" s="21">
        <f t="shared" si="0"/>
        <v>45</v>
      </c>
      <c r="AU5" s="21">
        <f t="shared" si="0"/>
        <v>46</v>
      </c>
      <c r="AV5" s="21">
        <f t="shared" si="0"/>
        <v>47</v>
      </c>
      <c r="AW5" s="21">
        <f t="shared" si="0"/>
        <v>48</v>
      </c>
      <c r="AX5" s="21">
        <f t="shared" si="0"/>
        <v>49</v>
      </c>
      <c r="AY5" s="21">
        <f t="shared" si="0"/>
        <v>50</v>
      </c>
      <c r="AZ5" s="21">
        <f t="shared" si="0"/>
        <v>51</v>
      </c>
      <c r="BA5" s="21">
        <f t="shared" si="0"/>
        <v>52</v>
      </c>
      <c r="BB5" s="21">
        <f t="shared" si="0"/>
        <v>53</v>
      </c>
      <c r="BC5" s="21">
        <f t="shared" si="0"/>
        <v>54</v>
      </c>
      <c r="BD5" s="21">
        <f t="shared" si="0"/>
        <v>55</v>
      </c>
      <c r="BE5" s="22"/>
      <c r="BF5" s="22"/>
      <c r="BG5" s="22"/>
      <c r="BH5" s="22"/>
      <c r="BI5" s="23"/>
      <c r="BJ5" s="22"/>
      <c r="BK5" s="23"/>
    </row>
    <row r="6" spans="1:63" ht="70" x14ac:dyDescent="0.2">
      <c r="A6" s="2">
        <v>13</v>
      </c>
      <c r="B6" s="2" t="s">
        <v>86</v>
      </c>
      <c r="C6" s="3">
        <v>10700000</v>
      </c>
      <c r="D6" s="2" t="s">
        <v>140</v>
      </c>
      <c r="E6" s="4">
        <v>30047</v>
      </c>
      <c r="F6" s="25" t="s">
        <v>182</v>
      </c>
      <c r="G6" s="5" t="s">
        <v>141</v>
      </c>
      <c r="H6" s="5" t="s">
        <v>142</v>
      </c>
      <c r="I6" s="5" t="s">
        <v>143</v>
      </c>
      <c r="J6" s="5" t="s">
        <v>58</v>
      </c>
      <c r="K6" s="2" t="s">
        <v>144</v>
      </c>
      <c r="L6" s="2" t="s">
        <v>144</v>
      </c>
      <c r="M6" s="2">
        <v>20767757</v>
      </c>
      <c r="N6" s="2" t="s">
        <v>145</v>
      </c>
      <c r="O6" s="2" t="s">
        <v>86</v>
      </c>
      <c r="P6" s="5" t="s">
        <v>146</v>
      </c>
      <c r="Q6" s="5" t="s">
        <v>147</v>
      </c>
      <c r="R6" s="5" t="s">
        <v>148</v>
      </c>
      <c r="S6" s="2" t="s">
        <v>149</v>
      </c>
      <c r="T6" s="2" t="s">
        <v>0</v>
      </c>
      <c r="U6" s="2" t="s">
        <v>150</v>
      </c>
      <c r="V6" s="2" t="s">
        <v>1</v>
      </c>
      <c r="W6" s="2" t="s">
        <v>151</v>
      </c>
      <c r="X6" s="2" t="s">
        <v>152</v>
      </c>
      <c r="Y6" s="4">
        <v>44302</v>
      </c>
      <c r="Z6" s="4">
        <f>EDATE(Y6,2)-1</f>
        <v>44362</v>
      </c>
      <c r="AA6" s="2" t="s">
        <v>153</v>
      </c>
      <c r="AB6" s="5" t="s">
        <v>2</v>
      </c>
      <c r="AC6" s="2" t="s">
        <v>154</v>
      </c>
      <c r="AD6" s="4">
        <v>44363</v>
      </c>
      <c r="AE6" s="4">
        <v>44727</v>
      </c>
      <c r="AF6" s="2" t="s">
        <v>155</v>
      </c>
      <c r="AG6" s="2" t="s">
        <v>156</v>
      </c>
      <c r="AH6" s="2" t="s">
        <v>154</v>
      </c>
      <c r="AI6" s="4">
        <v>44728</v>
      </c>
      <c r="AJ6" s="4">
        <v>45458</v>
      </c>
      <c r="AK6" s="2" t="s">
        <v>157</v>
      </c>
      <c r="AL6" s="2" t="s">
        <v>158</v>
      </c>
      <c r="AM6" s="2" t="s">
        <v>159</v>
      </c>
      <c r="AN6" s="4">
        <v>45459</v>
      </c>
      <c r="AO6" s="2"/>
      <c r="AP6" s="2" t="s">
        <v>160</v>
      </c>
      <c r="AQ6" s="2" t="s">
        <v>161</v>
      </c>
      <c r="AR6" s="2" t="s">
        <v>162</v>
      </c>
      <c r="AS6" s="2" t="s">
        <v>163</v>
      </c>
      <c r="AT6" s="2" t="s">
        <v>164</v>
      </c>
      <c r="AU6" s="2"/>
      <c r="AV6" s="2"/>
      <c r="AW6" s="2"/>
      <c r="AX6" s="2"/>
      <c r="AY6" s="2" t="b">
        <v>0</v>
      </c>
      <c r="AZ6" s="2" t="b">
        <v>0</v>
      </c>
      <c r="BA6" s="2" t="b">
        <v>0</v>
      </c>
      <c r="BB6" s="2" t="b">
        <v>0</v>
      </c>
      <c r="BC6" s="2" t="b">
        <v>0</v>
      </c>
      <c r="BD6" s="2" t="b">
        <v>0</v>
      </c>
      <c r="BE6" s="6"/>
      <c r="BF6" s="6" t="s">
        <v>3</v>
      </c>
      <c r="BG6" s="6" t="str">
        <f t="array" aca="1" ref="BG6" ca="1">IF(B6:B977&lt;&gt;"", DAY(E6:E977)&amp;"/"&amp;MONTH(E6:E977)&amp;"/"&amp;YEAR(TODAY()),"")</f>
        <v>6/4/2026</v>
      </c>
      <c r="BH6" s="6">
        <f t="array" aca="1" ref="BH6" ca="1">IF(BG6:BG977&lt;&gt;"", YEAR(TODAY())-YEAR(E6:E977),"")</f>
        <v>44</v>
      </c>
      <c r="BI6" s="7">
        <v>44302</v>
      </c>
      <c r="BJ6" s="6" t="s">
        <v>165</v>
      </c>
      <c r="BK6" s="8"/>
    </row>
    <row r="7" spans="1:63" ht="84" x14ac:dyDescent="0.2">
      <c r="A7" s="1">
        <v>2</v>
      </c>
      <c r="B7" s="2" t="s">
        <v>88</v>
      </c>
      <c r="C7" s="3">
        <v>18000000</v>
      </c>
      <c r="D7" s="2" t="s">
        <v>54</v>
      </c>
      <c r="E7" s="4">
        <v>32484</v>
      </c>
      <c r="F7" s="25" t="s">
        <v>183</v>
      </c>
      <c r="G7" s="5" t="s">
        <v>55</v>
      </c>
      <c r="H7" s="5" t="s">
        <v>56</v>
      </c>
      <c r="I7" s="5" t="s">
        <v>57</v>
      </c>
      <c r="J7" s="5" t="s">
        <v>58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88</v>
      </c>
      <c r="P7" s="5" t="s">
        <v>56</v>
      </c>
      <c r="Q7" s="5" t="s">
        <v>63</v>
      </c>
      <c r="R7" s="5" t="s">
        <v>64</v>
      </c>
      <c r="S7" s="2"/>
      <c r="T7" s="2" t="s">
        <v>0</v>
      </c>
      <c r="U7" s="2" t="s">
        <v>65</v>
      </c>
      <c r="V7" s="2" t="s">
        <v>1</v>
      </c>
      <c r="W7" s="2" t="s">
        <v>66</v>
      </c>
      <c r="X7" s="2" t="s">
        <v>67</v>
      </c>
      <c r="Y7" s="4">
        <v>46367</v>
      </c>
      <c r="Z7" s="4">
        <v>46063</v>
      </c>
      <c r="AA7" s="2" t="s">
        <v>68</v>
      </c>
      <c r="AB7" s="5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 t="b">
        <v>0</v>
      </c>
      <c r="AZ7" s="2" t="b">
        <v>0</v>
      </c>
      <c r="BA7" s="2" t="b">
        <v>0</v>
      </c>
      <c r="BB7" s="2" t="b">
        <v>0</v>
      </c>
      <c r="BC7" s="2" t="b">
        <v>0</v>
      </c>
      <c r="BD7" s="2" t="b">
        <v>0</v>
      </c>
      <c r="BE7" s="6"/>
      <c r="BF7" s="6" t="s">
        <v>69</v>
      </c>
      <c r="BG7" s="6" t="str">
        <f t="array" aca="1" ref="BG7" ca="1">IF(B7:B978&lt;&gt;"", DAY(E7:E978)&amp;"/"&amp;MONTH(E7:E978)&amp;"/"&amp;YEAR(TODAY()),"")</f>
        <v>7/12/2026</v>
      </c>
      <c r="BH7" s="6">
        <f t="array" aca="1" ref="BH7" ca="1">IF(BG7:BG978&lt;&gt;"", YEAR(TODAY())-YEAR(E7:E978),"")</f>
        <v>38</v>
      </c>
      <c r="BI7" s="7">
        <v>46002</v>
      </c>
      <c r="BJ7" s="6" t="s">
        <v>70</v>
      </c>
      <c r="BK7" s="24"/>
    </row>
    <row r="8" spans="1:63" ht="70" x14ac:dyDescent="0.2">
      <c r="A8" s="2">
        <v>3</v>
      </c>
      <c r="B8" s="2" t="s">
        <v>181</v>
      </c>
      <c r="C8" s="3">
        <v>6000000</v>
      </c>
      <c r="D8" s="2" t="s">
        <v>166</v>
      </c>
      <c r="E8" s="4">
        <v>36285</v>
      </c>
      <c r="F8" s="25" t="s">
        <v>184</v>
      </c>
      <c r="G8" s="44" t="s">
        <v>167</v>
      </c>
      <c r="H8" s="5" t="s">
        <v>168</v>
      </c>
      <c r="I8" s="5" t="s">
        <v>169</v>
      </c>
      <c r="J8" s="5" t="s">
        <v>170</v>
      </c>
      <c r="K8" s="2" t="s">
        <v>171</v>
      </c>
      <c r="L8" s="2" t="s">
        <v>172</v>
      </c>
      <c r="M8" s="2">
        <v>111100012770007</v>
      </c>
      <c r="N8" s="2" t="s">
        <v>173</v>
      </c>
      <c r="O8" s="2" t="s">
        <v>181</v>
      </c>
      <c r="P8" s="5" t="s">
        <v>168</v>
      </c>
      <c r="Q8" s="5" t="s">
        <v>63</v>
      </c>
      <c r="R8" s="5" t="s">
        <v>174</v>
      </c>
      <c r="S8" s="2" t="s">
        <v>175</v>
      </c>
      <c r="T8" s="2" t="s">
        <v>0</v>
      </c>
      <c r="U8" s="2" t="s">
        <v>150</v>
      </c>
      <c r="V8" s="2" t="s">
        <v>1</v>
      </c>
      <c r="W8" s="2" t="s">
        <v>176</v>
      </c>
      <c r="X8" s="2" t="s">
        <v>177</v>
      </c>
      <c r="Y8" s="4">
        <v>45873</v>
      </c>
      <c r="Z8" s="4">
        <v>45934</v>
      </c>
      <c r="AA8" s="2" t="s">
        <v>178</v>
      </c>
      <c r="AB8" s="5" t="s">
        <v>2</v>
      </c>
      <c r="AC8" s="2" t="s">
        <v>179</v>
      </c>
      <c r="AD8" s="4">
        <v>45935</v>
      </c>
      <c r="AE8" s="4">
        <v>46299</v>
      </c>
      <c r="AF8" s="2" t="s">
        <v>180</v>
      </c>
      <c r="AG8" s="2" t="s">
        <v>156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 t="b">
        <v>1</v>
      </c>
      <c r="AZ8" s="2" t="b">
        <v>1</v>
      </c>
      <c r="BA8" s="2" t="b">
        <v>1</v>
      </c>
      <c r="BB8" s="2" t="b">
        <v>0</v>
      </c>
      <c r="BC8" s="2" t="b">
        <v>1</v>
      </c>
      <c r="BD8" s="2" t="b">
        <v>0</v>
      </c>
      <c r="BE8" s="6"/>
      <c r="BF8" s="6" t="s">
        <v>69</v>
      </c>
      <c r="BG8" s="6" t="str">
        <f t="array" aca="1" ref="BG8" ca="1">IF(B8:B979&lt;&gt;"", DAY(E8:E979)&amp;"/"&amp;MONTH(E8:E979)&amp;"/"&amp;YEAR(TODAY()),"")</f>
        <v>5/5/2026</v>
      </c>
      <c r="BH8" s="6">
        <f t="array" aca="1" ref="BH8" ca="1">IF(BG8:BG979&lt;&gt;"", YEAR(TODAY())-YEAR(E8:E979),"")</f>
        <v>27</v>
      </c>
      <c r="BI8" s="7">
        <v>45873</v>
      </c>
      <c r="BJ8" s="6" t="s">
        <v>71</v>
      </c>
      <c r="BK8" s="8"/>
    </row>
    <row r="9" spans="1:63" ht="98" x14ac:dyDescent="0.2">
      <c r="A9" s="2">
        <v>4</v>
      </c>
      <c r="B9" s="2" t="s">
        <v>87</v>
      </c>
      <c r="C9" s="3">
        <v>22000000</v>
      </c>
      <c r="D9" s="2" t="s">
        <v>73</v>
      </c>
      <c r="E9" s="4">
        <v>33145</v>
      </c>
      <c r="F9" s="25" t="s">
        <v>185</v>
      </c>
      <c r="G9" s="5" t="s">
        <v>74</v>
      </c>
      <c r="H9" s="5" t="s">
        <v>75</v>
      </c>
      <c r="I9" s="5" t="s">
        <v>76</v>
      </c>
      <c r="J9" s="5" t="s">
        <v>58</v>
      </c>
      <c r="K9" s="2" t="s">
        <v>77</v>
      </c>
      <c r="L9" s="2" t="s">
        <v>78</v>
      </c>
      <c r="M9" s="2">
        <v>71000776127</v>
      </c>
      <c r="N9" s="2" t="s">
        <v>79</v>
      </c>
      <c r="O9" s="2" t="s">
        <v>87</v>
      </c>
      <c r="P9" s="5" t="s">
        <v>75</v>
      </c>
      <c r="Q9" s="5" t="s">
        <v>80</v>
      </c>
      <c r="R9" s="5" t="s">
        <v>81</v>
      </c>
      <c r="S9" s="2"/>
      <c r="T9" s="2" t="s">
        <v>0</v>
      </c>
      <c r="U9" s="2" t="s">
        <v>65</v>
      </c>
      <c r="V9" s="2" t="s">
        <v>1</v>
      </c>
      <c r="W9" s="2" t="s">
        <v>82</v>
      </c>
      <c r="X9" s="2" t="s">
        <v>83</v>
      </c>
      <c r="Y9" s="4">
        <v>45943</v>
      </c>
      <c r="Z9" s="4">
        <v>46004</v>
      </c>
      <c r="AA9" s="2" t="s">
        <v>84</v>
      </c>
      <c r="AB9" s="5" t="s">
        <v>2</v>
      </c>
      <c r="AC9" s="2"/>
      <c r="AD9" s="4">
        <v>46005</v>
      </c>
      <c r="AE9" s="4">
        <f>EDATE(AD9,4)-1</f>
        <v>46125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 t="b">
        <v>0</v>
      </c>
      <c r="AZ9" s="2" t="b">
        <v>0</v>
      </c>
      <c r="BA9" s="2" t="b">
        <v>0</v>
      </c>
      <c r="BB9" s="2" t="b">
        <v>0</v>
      </c>
      <c r="BC9" s="2" t="b">
        <v>0</v>
      </c>
      <c r="BD9" s="2" t="b">
        <v>0</v>
      </c>
      <c r="BE9" s="6"/>
      <c r="BF9" s="6" t="s">
        <v>3</v>
      </c>
      <c r="BG9" s="6" t="str">
        <f t="array" aca="1" ref="BG9" ca="1">IF(B9:B980&lt;&gt;"", DAY(E9:E980)&amp;"/"&amp;MONTH(E9:E980)&amp;"/"&amp;YEAR(TODAY()),"")</f>
        <v>29/9/2026</v>
      </c>
      <c r="BH9" s="6">
        <f t="array" aca="1" ref="BH9" ca="1">IF(BG9:BG980&lt;&gt;"", YEAR(TODAY())-YEAR(E9:E980),"")</f>
        <v>36</v>
      </c>
      <c r="BI9" s="7">
        <v>45943</v>
      </c>
      <c r="BJ9" s="6" t="s">
        <v>85</v>
      </c>
      <c r="BK9" s="8"/>
    </row>
  </sheetData>
  <mergeCells count="29">
    <mergeCell ref="F3:F4"/>
    <mergeCell ref="A3:A4"/>
    <mergeCell ref="B3:B4"/>
    <mergeCell ref="C3:C4"/>
    <mergeCell ref="D3:D4"/>
    <mergeCell ref="E3:E4"/>
    <mergeCell ref="T3:V3"/>
    <mergeCell ref="G3:G4"/>
    <mergeCell ref="H3:J3"/>
    <mergeCell ref="K3:K4"/>
    <mergeCell ref="L3:L4"/>
    <mergeCell ref="M3:M4"/>
    <mergeCell ref="N3:N4"/>
    <mergeCell ref="AX3:AX4"/>
    <mergeCell ref="AY3:BD3"/>
    <mergeCell ref="BE3:BE4"/>
    <mergeCell ref="BF3:BJ3"/>
    <mergeCell ref="E1:Q1"/>
    <mergeCell ref="W3:W4"/>
    <mergeCell ref="X3:AB3"/>
    <mergeCell ref="AC3:AG3"/>
    <mergeCell ref="AH3:AL3"/>
    <mergeCell ref="AM3:AQ3"/>
    <mergeCell ref="AR3:AW4"/>
    <mergeCell ref="O3:O4"/>
    <mergeCell ref="P3:P4"/>
    <mergeCell ref="Q3:Q4"/>
    <mergeCell ref="R3:R4"/>
    <mergeCell ref="S3:S4"/>
  </mergeCells>
  <conditionalFormatting sqref="A6:BK9">
    <cfRule type="expression" dxfId="1" priority="1">
      <formula>OR($T6="Đã nghỉ việc", $T6="Tạm dừng")</formula>
    </cfRule>
  </conditionalFormatting>
  <dataValidations count="7">
    <dataValidation type="custom" allowBlank="1" showDropDown="1" sqref="I4:I9 E6:E9" xr:uid="{00000000-0002-0000-0000-000000000000}">
      <formula1>OR(NOT(ISERROR(DATEVALUE(E4))), AND(ISNUMBER(E4), LEFT(CELL("format", E4))="D"))</formula1>
    </dataValidation>
    <dataValidation type="list" allowBlank="1" showErrorMessage="1" sqref="BF6:BF9" xr:uid="{00000000-0002-0000-0000-000001000000}">
      <formula1>"Nam ,Nữ"</formula1>
    </dataValidation>
    <dataValidation type="list" allowBlank="1" showErrorMessage="1" sqref="T6:T9" xr:uid="{00000000-0002-0000-0000-000002000000}">
      <formula1>"Đang làm việc,Đã nghỉ việc,Tạm dừng,Thai sản"</formula1>
    </dataValidation>
    <dataValidation type="custom" allowBlank="1" showDropDown="1" showInputMessage="1" showErrorMessage="1" prompt="Nhập ngày hợp lệ" sqref="BI6:BI7 BE6:BE9 AD6:AE9" xr:uid="{00000000-0002-0000-0000-000003000000}">
      <formula1>OR(NOT(ISERROR(DATEVALUE(AD6))), AND(ISNUMBER(AD6), LEFT(CELL("format", AD6))="D"))</formula1>
    </dataValidation>
    <dataValidation type="list" allowBlank="1" showErrorMessage="1" sqref="V6:V9" xr:uid="{00000000-0002-0000-0000-000004000000}">
      <formula1>"Full-time,Part-time,CTV"</formula1>
    </dataValidation>
    <dataValidation type="list" allowBlank="1" showErrorMessage="1" sqref="U6:U9" xr:uid="{00000000-0002-0000-0000-000005000000}">
      <formula1>"Chính thức,Thử việc,Dịch vụ,Khoán việc"</formula1>
    </dataValidation>
    <dataValidation type="list" allowBlank="1" showErrorMessage="1" sqref="BJ6:BJ9" xr:uid="{00000000-0002-0000-0000-000006000000}">
      <formula1>"HCNS,Tài chính,Vận hành VP,Vận hành Kho,Marketing ,Lãnh đạo,Kỹ thuật,Thiết kế"</formula1>
    </dataValidation>
  </dataValidations>
  <hyperlinks>
    <hyperlink ref="F7" r:id="rId1" xr:uid="{00000000-0004-0000-0000-000000000000}"/>
    <hyperlink ref="F9" r:id="rId2" xr:uid="{00000000-0004-0000-0000-000001000000}"/>
    <hyperlink ref="F6" r:id="rId3" xr:uid="{00000000-0004-0000-0000-000002000000}"/>
    <hyperlink ref="F8" r:id="rId4" xr:uid="{00000000-0004-0000-0000-000003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7000000}">
          <x14:formula1>
            <xm:f>'[File mẫu.xlsx]Thiết lập'!#REF!</xm:f>
          </x14:formula1>
          <xm:sqref>AG6:AG9 AQ6:AQ9 AL6:AL9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7"/>
  <sheetViews>
    <sheetView topLeftCell="A2" workbookViewId="0">
      <selection activeCell="C12" sqref="C12"/>
    </sheetView>
  </sheetViews>
  <sheetFormatPr baseColWidth="10" defaultColWidth="8.83203125" defaultRowHeight="15" x14ac:dyDescent="0.2"/>
  <cols>
    <col min="2" max="2" width="13" customWidth="1"/>
  </cols>
  <sheetData>
    <row r="1" spans="1:53" x14ac:dyDescent="0.2">
      <c r="A1" s="77" t="s">
        <v>72</v>
      </c>
      <c r="B1" s="77" t="s">
        <v>90</v>
      </c>
      <c r="C1" s="78" t="s">
        <v>91</v>
      </c>
      <c r="D1" s="79" t="s">
        <v>92</v>
      </c>
      <c r="E1" s="80"/>
      <c r="F1" s="80"/>
      <c r="G1" s="80"/>
      <c r="H1" s="80"/>
      <c r="I1" s="80"/>
      <c r="J1" s="80"/>
      <c r="K1" s="80"/>
      <c r="L1" s="81"/>
      <c r="M1" s="82" t="s">
        <v>93</v>
      </c>
      <c r="N1" s="80"/>
      <c r="O1" s="80"/>
      <c r="P1" s="81"/>
      <c r="Q1" s="83" t="s">
        <v>94</v>
      </c>
      <c r="R1" s="80"/>
      <c r="S1" s="80"/>
      <c r="T1" s="81"/>
      <c r="U1" s="84" t="s">
        <v>95</v>
      </c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1"/>
      <c r="AI1" s="82" t="s">
        <v>96</v>
      </c>
      <c r="AJ1" s="80"/>
      <c r="AK1" s="80"/>
      <c r="AL1" s="81"/>
      <c r="AM1" s="85" t="s">
        <v>97</v>
      </c>
      <c r="AN1" s="81"/>
      <c r="AO1" s="86" t="s">
        <v>98</v>
      </c>
      <c r="AP1" s="80"/>
      <c r="AQ1" s="80"/>
      <c r="AR1" s="80"/>
      <c r="AS1" s="81"/>
      <c r="AT1" s="87" t="s">
        <v>99</v>
      </c>
      <c r="AU1" s="75" t="s">
        <v>100</v>
      </c>
      <c r="AV1" s="26"/>
      <c r="AW1" s="26"/>
      <c r="AX1" s="26"/>
      <c r="AY1" s="26"/>
      <c r="AZ1" s="26"/>
      <c r="BA1" s="26"/>
    </row>
    <row r="2" spans="1:53" ht="140" x14ac:dyDescent="0.2">
      <c r="A2" s="76"/>
      <c r="B2" s="76"/>
      <c r="C2" s="76"/>
      <c r="D2" s="27" t="s">
        <v>101</v>
      </c>
      <c r="E2" s="28" t="s">
        <v>102</v>
      </c>
      <c r="F2" s="29" t="s">
        <v>103</v>
      </c>
      <c r="G2" s="28" t="s">
        <v>104</v>
      </c>
      <c r="H2" s="29" t="s">
        <v>105</v>
      </c>
      <c r="I2" s="29" t="s">
        <v>106</v>
      </c>
      <c r="J2" s="29" t="s">
        <v>107</v>
      </c>
      <c r="K2" s="29" t="s">
        <v>108</v>
      </c>
      <c r="L2" s="28" t="s">
        <v>109</v>
      </c>
      <c r="M2" s="30" t="s">
        <v>110</v>
      </c>
      <c r="N2" s="30" t="s">
        <v>111</v>
      </c>
      <c r="O2" s="30" t="s">
        <v>112</v>
      </c>
      <c r="P2" s="30" t="s">
        <v>113</v>
      </c>
      <c r="Q2" s="31" t="s">
        <v>114</v>
      </c>
      <c r="R2" s="31" t="s">
        <v>115</v>
      </c>
      <c r="S2" s="31" t="s">
        <v>116</v>
      </c>
      <c r="T2" s="31" t="s">
        <v>117</v>
      </c>
      <c r="U2" s="32" t="s">
        <v>118</v>
      </c>
      <c r="V2" s="32" t="s">
        <v>119</v>
      </c>
      <c r="W2" s="32" t="s">
        <v>120</v>
      </c>
      <c r="X2" s="32" t="s">
        <v>121</v>
      </c>
      <c r="Y2" s="32" t="s">
        <v>122</v>
      </c>
      <c r="Z2" s="32" t="s">
        <v>123</v>
      </c>
      <c r="AA2" s="32" t="s">
        <v>124</v>
      </c>
      <c r="AB2" s="32" t="s">
        <v>125</v>
      </c>
      <c r="AC2" s="32" t="s">
        <v>126</v>
      </c>
      <c r="AD2" s="32" t="s">
        <v>127</v>
      </c>
      <c r="AE2" s="32" t="s">
        <v>128</v>
      </c>
      <c r="AF2" s="32" t="s">
        <v>129</v>
      </c>
      <c r="AG2" s="32" t="s">
        <v>130</v>
      </c>
      <c r="AH2" s="32" t="s">
        <v>131</v>
      </c>
      <c r="AI2" s="30" t="s">
        <v>114</v>
      </c>
      <c r="AJ2" s="30" t="s">
        <v>132</v>
      </c>
      <c r="AK2" s="30" t="s">
        <v>133</v>
      </c>
      <c r="AL2" s="30" t="s">
        <v>134</v>
      </c>
      <c r="AM2" s="33" t="s">
        <v>97</v>
      </c>
      <c r="AN2" s="33" t="s">
        <v>135</v>
      </c>
      <c r="AO2" s="34" t="s">
        <v>114</v>
      </c>
      <c r="AP2" s="31" t="s">
        <v>136</v>
      </c>
      <c r="AQ2" s="31" t="s">
        <v>137</v>
      </c>
      <c r="AR2" s="34" t="s">
        <v>138</v>
      </c>
      <c r="AS2" s="31" t="s">
        <v>139</v>
      </c>
      <c r="AT2" s="76"/>
      <c r="AU2" s="76"/>
      <c r="AV2" s="26"/>
      <c r="AW2" s="26"/>
      <c r="AX2" s="26"/>
      <c r="AY2" s="26"/>
      <c r="AZ2" s="26"/>
      <c r="BA2" s="26"/>
    </row>
    <row r="3" spans="1:53" x14ac:dyDescent="0.2">
      <c r="A3" s="46"/>
      <c r="B3" s="47" t="s">
        <v>80</v>
      </c>
      <c r="C3" s="47">
        <f t="shared" ref="C3:AU3" si="0">B3+1</f>
        <v>2</v>
      </c>
      <c r="D3" s="47">
        <f t="shared" si="0"/>
        <v>3</v>
      </c>
      <c r="E3" s="47">
        <f t="shared" si="0"/>
        <v>4</v>
      </c>
      <c r="F3" s="47">
        <f t="shared" si="0"/>
        <v>5</v>
      </c>
      <c r="G3" s="47">
        <f t="shared" si="0"/>
        <v>6</v>
      </c>
      <c r="H3" s="47">
        <f t="shared" si="0"/>
        <v>7</v>
      </c>
      <c r="I3" s="47">
        <f t="shared" si="0"/>
        <v>8</v>
      </c>
      <c r="J3" s="35">
        <f t="shared" si="0"/>
        <v>9</v>
      </c>
      <c r="K3" s="35">
        <f t="shared" si="0"/>
        <v>10</v>
      </c>
      <c r="L3" s="35">
        <f t="shared" si="0"/>
        <v>11</v>
      </c>
      <c r="M3" s="35">
        <f t="shared" si="0"/>
        <v>12</v>
      </c>
      <c r="N3" s="35">
        <f t="shared" si="0"/>
        <v>13</v>
      </c>
      <c r="O3" s="35">
        <f t="shared" si="0"/>
        <v>14</v>
      </c>
      <c r="P3" s="35">
        <f t="shared" si="0"/>
        <v>15</v>
      </c>
      <c r="Q3" s="35">
        <f t="shared" si="0"/>
        <v>16</v>
      </c>
      <c r="R3" s="35">
        <f t="shared" si="0"/>
        <v>17</v>
      </c>
      <c r="S3" s="35">
        <f t="shared" si="0"/>
        <v>18</v>
      </c>
      <c r="T3" s="35">
        <f t="shared" si="0"/>
        <v>19</v>
      </c>
      <c r="U3" s="35">
        <f t="shared" si="0"/>
        <v>20</v>
      </c>
      <c r="V3" s="35">
        <f t="shared" si="0"/>
        <v>21</v>
      </c>
      <c r="W3" s="35">
        <f t="shared" si="0"/>
        <v>22</v>
      </c>
      <c r="X3" s="35">
        <f t="shared" si="0"/>
        <v>23</v>
      </c>
      <c r="Y3" s="35">
        <f t="shared" si="0"/>
        <v>24</v>
      </c>
      <c r="Z3" s="35">
        <f t="shared" si="0"/>
        <v>25</v>
      </c>
      <c r="AA3" s="35">
        <f t="shared" si="0"/>
        <v>26</v>
      </c>
      <c r="AB3" s="35">
        <f t="shared" si="0"/>
        <v>27</v>
      </c>
      <c r="AC3" s="35">
        <f t="shared" si="0"/>
        <v>28</v>
      </c>
      <c r="AD3" s="35">
        <f t="shared" si="0"/>
        <v>29</v>
      </c>
      <c r="AE3" s="35">
        <f t="shared" si="0"/>
        <v>30</v>
      </c>
      <c r="AF3" s="35">
        <f t="shared" si="0"/>
        <v>31</v>
      </c>
      <c r="AG3" s="35">
        <f t="shared" si="0"/>
        <v>32</v>
      </c>
      <c r="AH3" s="35">
        <f t="shared" si="0"/>
        <v>33</v>
      </c>
      <c r="AI3" s="35">
        <f t="shared" si="0"/>
        <v>34</v>
      </c>
      <c r="AJ3" s="35">
        <f t="shared" si="0"/>
        <v>35</v>
      </c>
      <c r="AK3" s="35">
        <f t="shared" si="0"/>
        <v>36</v>
      </c>
      <c r="AL3" s="35">
        <f t="shared" si="0"/>
        <v>37</v>
      </c>
      <c r="AM3" s="35">
        <f t="shared" si="0"/>
        <v>38</v>
      </c>
      <c r="AN3" s="35">
        <f t="shared" si="0"/>
        <v>39</v>
      </c>
      <c r="AO3" s="35">
        <f t="shared" si="0"/>
        <v>40</v>
      </c>
      <c r="AP3" s="35">
        <f t="shared" si="0"/>
        <v>41</v>
      </c>
      <c r="AQ3" s="35">
        <f t="shared" si="0"/>
        <v>42</v>
      </c>
      <c r="AR3" s="35">
        <f t="shared" si="0"/>
        <v>43</v>
      </c>
      <c r="AS3" s="35">
        <f t="shared" si="0"/>
        <v>44</v>
      </c>
      <c r="AT3" s="35">
        <f t="shared" si="0"/>
        <v>45</v>
      </c>
      <c r="AU3" s="35">
        <f t="shared" si="0"/>
        <v>46</v>
      </c>
      <c r="AV3" s="36"/>
      <c r="AW3" s="36"/>
      <c r="AX3" s="36"/>
      <c r="AY3" s="36"/>
      <c r="AZ3" s="36"/>
      <c r="BA3" s="36"/>
    </row>
    <row r="4" spans="1:53" x14ac:dyDescent="0.2">
      <c r="A4" s="48">
        <v>1</v>
      </c>
      <c r="B4" s="49" t="s">
        <v>88</v>
      </c>
      <c r="C4" s="48">
        <v>9000000</v>
      </c>
      <c r="D4" s="50">
        <f t="shared" ref="D4:D7" si="1">SUM(E4:L4)</f>
        <v>10070750</v>
      </c>
      <c r="E4" s="50">
        <v>2000000</v>
      </c>
      <c r="F4" s="50">
        <v>1500000</v>
      </c>
      <c r="G4" s="50">
        <v>1500000</v>
      </c>
      <c r="H4" s="50">
        <v>0</v>
      </c>
      <c r="I4" s="50">
        <v>0</v>
      </c>
      <c r="J4" s="45">
        <v>4670750</v>
      </c>
      <c r="K4" s="38">
        <v>0</v>
      </c>
      <c r="L4" s="38">
        <v>400000</v>
      </c>
      <c r="M4" s="37">
        <f t="shared" ref="M4:M7" si="2">SUM(O4:P4)</f>
        <v>11000000</v>
      </c>
      <c r="N4" s="37">
        <f t="shared" ref="N4" si="3">IF(B4="",0,0)</f>
        <v>0</v>
      </c>
      <c r="O4" s="37">
        <f t="shared" ref="O4:O7" si="4">IF(B4="",0,11000000)</f>
        <v>11000000</v>
      </c>
      <c r="P4" s="37">
        <f t="shared" ref="P4:P7" si="5">N4*4400000</f>
        <v>0</v>
      </c>
      <c r="Q4" s="37">
        <f t="shared" ref="Q4:Q7" si="6">SUM(R4:T4)</f>
        <v>945000</v>
      </c>
      <c r="R4" s="37">
        <f t="shared" ref="R4:R7" si="7">C4*8%</f>
        <v>720000</v>
      </c>
      <c r="S4" s="37">
        <f t="shared" ref="S4:S7" si="8">C4*1.5%</f>
        <v>135000</v>
      </c>
      <c r="T4" s="37">
        <f t="shared" ref="T4:T7" si="9">C4*1%</f>
        <v>90000</v>
      </c>
      <c r="U4" s="39">
        <f t="shared" ref="U4:U7" si="10">C4+D4</f>
        <v>19070750</v>
      </c>
      <c r="V4" s="37">
        <f t="shared" ref="V4:V7" si="11">U4-J4</f>
        <v>14400000</v>
      </c>
      <c r="W4" s="37">
        <f t="shared" ref="W4:W7" si="12">15%*V4</f>
        <v>2160000</v>
      </c>
      <c r="X4" s="38">
        <f t="shared" ref="X4:X7" si="13">J4-W4</f>
        <v>2510750</v>
      </c>
      <c r="Y4" s="38">
        <f t="shared" ref="Y4:Y7" si="14">U4-X4-E4-G4-L4</f>
        <v>12660000</v>
      </c>
      <c r="Z4" s="38">
        <f t="shared" ref="Z4:Z7" si="15">IF(Y4-M4-Q4&lt;=0, 0, Y4-M4-Q4)</f>
        <v>715000</v>
      </c>
      <c r="AA4" s="38">
        <f t="shared" ref="AA4:AA7" si="16">IF(SUM(AB4:AG4)=0,"0",SUM(AB4:AG4))</f>
        <v>35750</v>
      </c>
      <c r="AB4" s="38">
        <f t="shared" ref="AB4:AB7" si="17">MAX(0, MIN($Z4, 5000000)) * 5%</f>
        <v>35750</v>
      </c>
      <c r="AC4" s="38">
        <f t="shared" ref="AC4:AC7" si="18">MAX(0, MIN($Z4 - 5000000, 5000000)) * 10%</f>
        <v>0</v>
      </c>
      <c r="AD4" s="38">
        <f t="shared" ref="AD4:AD7" si="19">MAX(0, MIN($Z4 - 10000000, 8000000)) * 15%</f>
        <v>0</v>
      </c>
      <c r="AE4" s="38">
        <f t="shared" ref="AE4:AE7" si="20">MAX(0, MIN($Z4 - 18000000, 14000000)) * 20%</f>
        <v>0</v>
      </c>
      <c r="AF4" s="38">
        <f t="shared" ref="AF4:AF7" si="21">MAX(0, MIN($Z4 - 32000000, 20000000)) * 25%</f>
        <v>0</v>
      </c>
      <c r="AG4" s="37">
        <f t="shared" ref="AG4:AG7" si="22">MAX(0, MIN($Z4 - 52000000, 28000000)) * 30%</f>
        <v>0</v>
      </c>
      <c r="AH4" s="37">
        <f t="shared" ref="AH4:AH7" si="23">MAX(0, $Z4 - 80000000) * 35%</f>
        <v>0</v>
      </c>
      <c r="AI4" s="37">
        <f t="shared" ref="AI4:AI7" si="24">SUM(AJ4:AL4)</f>
        <v>1935000</v>
      </c>
      <c r="AJ4" s="37">
        <f t="shared" ref="AJ4:AJ7" si="25">C4*17.5%</f>
        <v>1575000</v>
      </c>
      <c r="AK4" s="37">
        <f t="shared" ref="AK4:AK7" si="26">C4*1%</f>
        <v>90000</v>
      </c>
      <c r="AL4" s="37">
        <f t="shared" ref="AL4:AL7" si="27">C4*3%</f>
        <v>270000</v>
      </c>
      <c r="AM4" s="38">
        <f t="shared" ref="AM4:AM7" si="28">C4*2%</f>
        <v>180000</v>
      </c>
      <c r="AN4" s="38">
        <f t="shared" ref="AN4:AN7" si="29">C4*1%</f>
        <v>90000</v>
      </c>
      <c r="AO4" s="40">
        <f t="shared" ref="AO4:AO7" si="30">SUM(AP4:AS4)</f>
        <v>3095750</v>
      </c>
      <c r="AP4" s="37">
        <f t="shared" ref="AP4:AP7" si="31">Q4</f>
        <v>945000</v>
      </c>
      <c r="AQ4" s="37">
        <f t="shared" ref="AQ4:AQ7" si="32">AA4</f>
        <v>35750</v>
      </c>
      <c r="AR4" s="37">
        <f t="shared" ref="AR4:AR7" si="33">AI4</f>
        <v>1935000</v>
      </c>
      <c r="AS4" s="37">
        <f t="shared" ref="AS4:AS7" si="34">AM4</f>
        <v>180000</v>
      </c>
      <c r="AT4" s="37">
        <f t="shared" ref="AT4:AT7" si="35">U4-Q4-AA4-AN4</f>
        <v>18000000</v>
      </c>
      <c r="AU4" s="37">
        <f t="shared" ref="AU4:AU7" si="36">AT4+AO4</f>
        <v>21095750</v>
      </c>
      <c r="AV4" s="41"/>
      <c r="AW4" s="41"/>
      <c r="AX4" s="41"/>
      <c r="AY4" s="41"/>
      <c r="AZ4" s="41"/>
      <c r="BA4" s="41"/>
    </row>
    <row r="5" spans="1:53" x14ac:dyDescent="0.2">
      <c r="A5" s="48">
        <v>2</v>
      </c>
      <c r="B5" s="49" t="s">
        <v>87</v>
      </c>
      <c r="C5" s="48">
        <v>22000000</v>
      </c>
      <c r="D5" s="50">
        <f t="shared" si="1"/>
        <v>28000000</v>
      </c>
      <c r="E5" s="50">
        <v>5000000</v>
      </c>
      <c r="F5" s="50">
        <v>5000000</v>
      </c>
      <c r="G5" s="50">
        <v>2000000</v>
      </c>
      <c r="H5" s="50">
        <v>0</v>
      </c>
      <c r="I5" s="50">
        <v>0</v>
      </c>
      <c r="J5" s="45">
        <v>15600000</v>
      </c>
      <c r="K5" s="38">
        <v>0</v>
      </c>
      <c r="L5" s="38">
        <v>400000</v>
      </c>
      <c r="M5" s="37">
        <f t="shared" si="2"/>
        <v>15400000</v>
      </c>
      <c r="N5" s="37">
        <v>1</v>
      </c>
      <c r="O5" s="37">
        <f t="shared" si="4"/>
        <v>11000000</v>
      </c>
      <c r="P5" s="37">
        <f t="shared" si="5"/>
        <v>4400000</v>
      </c>
      <c r="Q5" s="37">
        <f t="shared" si="6"/>
        <v>2310000</v>
      </c>
      <c r="R5" s="37">
        <f t="shared" si="7"/>
        <v>1760000</v>
      </c>
      <c r="S5" s="37">
        <f t="shared" si="8"/>
        <v>330000</v>
      </c>
      <c r="T5" s="37">
        <f t="shared" si="9"/>
        <v>220000</v>
      </c>
      <c r="U5" s="39">
        <f t="shared" si="10"/>
        <v>50000000</v>
      </c>
      <c r="V5" s="37">
        <f t="shared" si="11"/>
        <v>34400000</v>
      </c>
      <c r="W5" s="37">
        <f t="shared" si="12"/>
        <v>5160000</v>
      </c>
      <c r="X5" s="38">
        <f t="shared" si="13"/>
        <v>10440000</v>
      </c>
      <c r="Y5" s="38">
        <f t="shared" si="14"/>
        <v>32160000</v>
      </c>
      <c r="Z5" s="38">
        <f t="shared" si="15"/>
        <v>14450000</v>
      </c>
      <c r="AA5" s="38">
        <f t="shared" si="16"/>
        <v>1417500</v>
      </c>
      <c r="AB5" s="38">
        <f t="shared" si="17"/>
        <v>250000</v>
      </c>
      <c r="AC5" s="38">
        <f t="shared" si="18"/>
        <v>500000</v>
      </c>
      <c r="AD5" s="38">
        <f t="shared" si="19"/>
        <v>667500</v>
      </c>
      <c r="AE5" s="38">
        <f t="shared" si="20"/>
        <v>0</v>
      </c>
      <c r="AF5" s="38">
        <f t="shared" si="21"/>
        <v>0</v>
      </c>
      <c r="AG5" s="37">
        <f t="shared" si="22"/>
        <v>0</v>
      </c>
      <c r="AH5" s="37">
        <f t="shared" si="23"/>
        <v>0</v>
      </c>
      <c r="AI5" s="37">
        <f t="shared" si="24"/>
        <v>4730000</v>
      </c>
      <c r="AJ5" s="37">
        <f t="shared" si="25"/>
        <v>3849999.9999999995</v>
      </c>
      <c r="AK5" s="37">
        <f t="shared" si="26"/>
        <v>220000</v>
      </c>
      <c r="AL5" s="37">
        <f t="shared" si="27"/>
        <v>660000</v>
      </c>
      <c r="AM5" s="38">
        <f t="shared" si="28"/>
        <v>440000</v>
      </c>
      <c r="AN5" s="38">
        <f t="shared" si="29"/>
        <v>220000</v>
      </c>
      <c r="AO5" s="40">
        <f t="shared" si="30"/>
        <v>8897500</v>
      </c>
      <c r="AP5" s="37">
        <f t="shared" si="31"/>
        <v>2310000</v>
      </c>
      <c r="AQ5" s="37">
        <f t="shared" si="32"/>
        <v>1417500</v>
      </c>
      <c r="AR5" s="37">
        <f t="shared" si="33"/>
        <v>4730000</v>
      </c>
      <c r="AS5" s="37">
        <f t="shared" si="34"/>
        <v>440000</v>
      </c>
      <c r="AT5" s="37">
        <f t="shared" si="35"/>
        <v>46052500</v>
      </c>
      <c r="AU5" s="37">
        <f t="shared" si="36"/>
        <v>54950000</v>
      </c>
      <c r="AV5" s="42"/>
      <c r="AW5" s="42"/>
      <c r="AX5" s="42"/>
      <c r="AY5" s="42"/>
      <c r="AZ5" s="42"/>
      <c r="BA5" s="42"/>
    </row>
    <row r="6" spans="1:53" x14ac:dyDescent="0.2">
      <c r="A6" s="48">
        <v>3</v>
      </c>
      <c r="B6" s="49" t="s">
        <v>86</v>
      </c>
      <c r="C6" s="48">
        <v>10700000</v>
      </c>
      <c r="D6" s="50">
        <f t="shared" si="1"/>
        <v>26400000</v>
      </c>
      <c r="E6" s="50">
        <v>4000000</v>
      </c>
      <c r="F6" s="50">
        <v>2000000</v>
      </c>
      <c r="G6" s="50">
        <v>2000000</v>
      </c>
      <c r="H6" s="50">
        <v>0</v>
      </c>
      <c r="I6" s="50">
        <v>0</v>
      </c>
      <c r="J6" s="45">
        <v>18000000</v>
      </c>
      <c r="K6" s="38">
        <v>0</v>
      </c>
      <c r="L6" s="38">
        <v>400000</v>
      </c>
      <c r="M6" s="37">
        <f t="shared" si="2"/>
        <v>19800000</v>
      </c>
      <c r="N6" s="37">
        <v>2</v>
      </c>
      <c r="O6" s="37">
        <f t="shared" si="4"/>
        <v>11000000</v>
      </c>
      <c r="P6" s="37">
        <f t="shared" si="5"/>
        <v>8800000</v>
      </c>
      <c r="Q6" s="37">
        <f t="shared" si="6"/>
        <v>1123500</v>
      </c>
      <c r="R6" s="37">
        <f t="shared" si="7"/>
        <v>856000</v>
      </c>
      <c r="S6" s="37">
        <f t="shared" si="8"/>
        <v>160500</v>
      </c>
      <c r="T6" s="37">
        <f t="shared" si="9"/>
        <v>107000</v>
      </c>
      <c r="U6" s="39">
        <f t="shared" si="10"/>
        <v>37100000</v>
      </c>
      <c r="V6" s="37">
        <f t="shared" si="11"/>
        <v>19100000</v>
      </c>
      <c r="W6" s="37">
        <f t="shared" si="12"/>
        <v>2865000</v>
      </c>
      <c r="X6" s="38">
        <f t="shared" si="13"/>
        <v>15135000</v>
      </c>
      <c r="Y6" s="38">
        <f t="shared" si="14"/>
        <v>15565000</v>
      </c>
      <c r="Z6" s="38">
        <f t="shared" si="15"/>
        <v>0</v>
      </c>
      <c r="AA6" s="38" t="str">
        <f t="shared" si="16"/>
        <v>0</v>
      </c>
      <c r="AB6" s="38">
        <f t="shared" si="17"/>
        <v>0</v>
      </c>
      <c r="AC6" s="38">
        <f t="shared" si="18"/>
        <v>0</v>
      </c>
      <c r="AD6" s="38">
        <f t="shared" si="19"/>
        <v>0</v>
      </c>
      <c r="AE6" s="38">
        <f t="shared" si="20"/>
        <v>0</v>
      </c>
      <c r="AF6" s="38">
        <f t="shared" si="21"/>
        <v>0</v>
      </c>
      <c r="AG6" s="37">
        <f t="shared" si="22"/>
        <v>0</v>
      </c>
      <c r="AH6" s="37">
        <f t="shared" si="23"/>
        <v>0</v>
      </c>
      <c r="AI6" s="37">
        <f t="shared" si="24"/>
        <v>2300500</v>
      </c>
      <c r="AJ6" s="37">
        <f t="shared" si="25"/>
        <v>1872499.9999999998</v>
      </c>
      <c r="AK6" s="37">
        <f t="shared" si="26"/>
        <v>107000</v>
      </c>
      <c r="AL6" s="37">
        <f t="shared" si="27"/>
        <v>321000</v>
      </c>
      <c r="AM6" s="38">
        <f t="shared" si="28"/>
        <v>214000</v>
      </c>
      <c r="AN6" s="38">
        <f t="shared" si="29"/>
        <v>107000</v>
      </c>
      <c r="AO6" s="40">
        <f t="shared" si="30"/>
        <v>3638000</v>
      </c>
      <c r="AP6" s="37">
        <f t="shared" si="31"/>
        <v>1123500</v>
      </c>
      <c r="AQ6" s="37" t="str">
        <f t="shared" si="32"/>
        <v>0</v>
      </c>
      <c r="AR6" s="37">
        <f t="shared" si="33"/>
        <v>2300500</v>
      </c>
      <c r="AS6" s="37">
        <f t="shared" si="34"/>
        <v>214000</v>
      </c>
      <c r="AT6" s="37">
        <f t="shared" si="35"/>
        <v>35869500</v>
      </c>
      <c r="AU6" s="37">
        <f t="shared" si="36"/>
        <v>39507500</v>
      </c>
      <c r="AV6" s="43"/>
      <c r="AW6" s="43"/>
      <c r="AX6" s="43"/>
      <c r="AY6" s="43"/>
      <c r="AZ6" s="43"/>
      <c r="BA6" s="43"/>
    </row>
    <row r="7" spans="1:53" x14ac:dyDescent="0.2">
      <c r="A7" s="48">
        <v>4</v>
      </c>
      <c r="B7" s="49" t="s">
        <v>181</v>
      </c>
      <c r="C7" s="48">
        <v>6000000</v>
      </c>
      <c r="D7" s="50">
        <f t="shared" si="1"/>
        <v>6690000</v>
      </c>
      <c r="E7" s="50">
        <v>1500000</v>
      </c>
      <c r="F7" s="50">
        <v>1000000</v>
      </c>
      <c r="G7" s="50">
        <v>1000000</v>
      </c>
      <c r="H7" s="50">
        <v>0</v>
      </c>
      <c r="I7" s="50">
        <v>0</v>
      </c>
      <c r="J7" s="45">
        <v>2790000</v>
      </c>
      <c r="K7" s="38">
        <v>0</v>
      </c>
      <c r="L7" s="38">
        <v>400000</v>
      </c>
      <c r="M7" s="37">
        <f t="shared" si="2"/>
        <v>11000000</v>
      </c>
      <c r="N7" s="37">
        <v>0</v>
      </c>
      <c r="O7" s="37">
        <f t="shared" si="4"/>
        <v>11000000</v>
      </c>
      <c r="P7" s="37">
        <f t="shared" si="5"/>
        <v>0</v>
      </c>
      <c r="Q7" s="37">
        <f t="shared" si="6"/>
        <v>630000</v>
      </c>
      <c r="R7" s="37">
        <f t="shared" si="7"/>
        <v>480000</v>
      </c>
      <c r="S7" s="37">
        <f t="shared" si="8"/>
        <v>90000</v>
      </c>
      <c r="T7" s="37">
        <f t="shared" si="9"/>
        <v>60000</v>
      </c>
      <c r="U7" s="39">
        <f t="shared" si="10"/>
        <v>12690000</v>
      </c>
      <c r="V7" s="37">
        <f t="shared" si="11"/>
        <v>9900000</v>
      </c>
      <c r="W7" s="37">
        <f t="shared" si="12"/>
        <v>1485000</v>
      </c>
      <c r="X7" s="38">
        <f t="shared" si="13"/>
        <v>1305000</v>
      </c>
      <c r="Y7" s="38">
        <f t="shared" si="14"/>
        <v>8485000</v>
      </c>
      <c r="Z7" s="38">
        <f t="shared" si="15"/>
        <v>0</v>
      </c>
      <c r="AA7" s="38" t="str">
        <f t="shared" si="16"/>
        <v>0</v>
      </c>
      <c r="AB7" s="38">
        <f t="shared" si="17"/>
        <v>0</v>
      </c>
      <c r="AC7" s="38">
        <f t="shared" si="18"/>
        <v>0</v>
      </c>
      <c r="AD7" s="38">
        <f t="shared" si="19"/>
        <v>0</v>
      </c>
      <c r="AE7" s="38">
        <f t="shared" si="20"/>
        <v>0</v>
      </c>
      <c r="AF7" s="38">
        <f t="shared" si="21"/>
        <v>0</v>
      </c>
      <c r="AG7" s="37">
        <f t="shared" si="22"/>
        <v>0</v>
      </c>
      <c r="AH7" s="37">
        <f t="shared" si="23"/>
        <v>0</v>
      </c>
      <c r="AI7" s="37">
        <f t="shared" si="24"/>
        <v>1290000</v>
      </c>
      <c r="AJ7" s="37">
        <f t="shared" si="25"/>
        <v>1050000</v>
      </c>
      <c r="AK7" s="37">
        <f t="shared" si="26"/>
        <v>60000</v>
      </c>
      <c r="AL7" s="37">
        <f t="shared" si="27"/>
        <v>180000</v>
      </c>
      <c r="AM7" s="38">
        <f t="shared" si="28"/>
        <v>120000</v>
      </c>
      <c r="AN7" s="38">
        <f t="shared" si="29"/>
        <v>60000</v>
      </c>
      <c r="AO7" s="40">
        <f t="shared" si="30"/>
        <v>2040000</v>
      </c>
      <c r="AP7" s="37">
        <f t="shared" si="31"/>
        <v>630000</v>
      </c>
      <c r="AQ7" s="37" t="str">
        <f t="shared" si="32"/>
        <v>0</v>
      </c>
      <c r="AR7" s="37">
        <f t="shared" si="33"/>
        <v>1290000</v>
      </c>
      <c r="AS7" s="37">
        <f t="shared" si="34"/>
        <v>120000</v>
      </c>
      <c r="AT7" s="37">
        <f t="shared" si="35"/>
        <v>12000000</v>
      </c>
      <c r="AU7" s="37">
        <f t="shared" si="36"/>
        <v>14040000</v>
      </c>
      <c r="AV7" s="42"/>
      <c r="AW7" s="42"/>
      <c r="AX7" s="42"/>
      <c r="AY7" s="42"/>
      <c r="AZ7" s="42"/>
      <c r="BA7" s="42"/>
    </row>
  </sheetData>
  <mergeCells count="12">
    <mergeCell ref="AU1:AU2"/>
    <mergeCell ref="A1:A2"/>
    <mergeCell ref="B1:B2"/>
    <mergeCell ref="C1:C2"/>
    <mergeCell ref="D1:L1"/>
    <mergeCell ref="M1:P1"/>
    <mergeCell ref="Q1:T1"/>
    <mergeCell ref="U1:AH1"/>
    <mergeCell ref="AI1:AL1"/>
    <mergeCell ref="AM1:AN1"/>
    <mergeCell ref="AO1:AS1"/>
    <mergeCell ref="AT1:AT2"/>
  </mergeCells>
  <conditionalFormatting sqref="B4:B7">
    <cfRule type="expression" dxfId="0" priority="1">
      <formula>OR($T4="Đã nghỉ việc", $T4="Tạm dừng")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</vt:lpstr>
      <vt:lpstr>Lương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Office</cp:lastModifiedBy>
  <dcterms:created xsi:type="dcterms:W3CDTF">2026-01-09T02:50:38Z</dcterms:created>
  <dcterms:modified xsi:type="dcterms:W3CDTF">2026-01-10T02:40:41Z</dcterms:modified>
</cp:coreProperties>
</file>